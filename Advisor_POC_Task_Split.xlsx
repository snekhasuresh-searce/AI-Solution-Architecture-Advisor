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Task Plan" sheetId="2" state="visible" r:id="rId4"/>
    <sheet name="Daily Plan" sheetId="3" state="visible" r:id="rId5"/>
    <sheet name="Req Coverage" sheetId="4" state="visible" r:id="rId6"/>
  </sheets>
  <definedNames>
    <definedName function="false" hidden="true" localSheetId="1" name="_xlnm._FilterDatabase" vbProcedure="false">'Task Plan'!$A$1:$O$36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<sst xmlns="http://schemas.openxmlformats.org/spreadsheetml/2006/main" count="548" uniqueCount="313">
  <si>
    <t xml:space="preserve">AI Solution Architecture Advisor POC — Team Task Split</t>
  </si>
  <si>
    <t xml:space="preserve">Sprint: Tue 6 Oct → Fri 9 Oct 2026 (demo Friday). Base: existing advisor-poc boilerplate (ADK, mock/Gemini/Ollama) + Updated Requirements doc.</t>
  </si>
  <si>
    <t xml:space="preserve">Goal for Friday: all 4 requirement scenarios (A–D) run end to end with the full agent set, brief confirmation, review/rework, dynamic score, human override, and DOCX/PDF export.</t>
  </si>
  <si>
    <t xml:space="preserve">Role</t>
  </si>
  <si>
    <t xml:space="preserve">Responsibility</t>
  </si>
  <si>
    <t xml:space="preserve">Tasks</t>
  </si>
  <si>
    <t xml:space="preserve">Est. hrs</t>
  </si>
  <si>
    <t xml:space="preserve">Done</t>
  </si>
  <si>
    <t xml:space="preserve">Blocked</t>
  </si>
  <si>
    <t xml:space="preserve">% done (hrs)</t>
  </si>
  <si>
    <t xml:space="preserve">R1</t>
  </si>
  <si>
    <t xml:space="preserve">Agent Engineer – Orchestration &amp; Selection (tech lead)</t>
  </si>
  <si>
    <t xml:space="preserve">R2</t>
  </si>
  <si>
    <t xml:space="preserve">Agent Engineer – Specialist Agents &amp; Prompts</t>
  </si>
  <si>
    <t xml:space="preserve">R3</t>
  </si>
  <si>
    <t xml:space="preserve">Backend Dev – Reviewer, Scoring, Report &amp; Audit</t>
  </si>
  <si>
    <t xml:space="preserve">R4</t>
  </si>
  <si>
    <t xml:space="preserve">QA / Test &amp; Demo Engineer</t>
  </si>
  <si>
    <t xml:space="preserve">All</t>
  </si>
  <si>
    <t xml:space="preserve">Whole team (kick-off, demo)</t>
  </si>
  <si>
    <t xml:space="preserve">Total</t>
  </si>
  <si>
    <t xml:space="preserve">Hours per person assume ~6 focused hrs/day Tue–Thu plus Friday for merge, fixes and demo.</t>
  </si>
  <si>
    <t xml:space="preserve">Key dates</t>
  </si>
  <si>
    <t xml:space="preserve">Tue</t>
  </si>
  <si>
    <t xml:space="preserve">Kick-off 11:00; set-up; agent names agreed; baseline run + test matrix</t>
  </si>
  <si>
    <t xml:space="preserve">Wed</t>
  </si>
  <si>
    <t xml:space="preserve">Core build: selector gating, new agents + mocks, reviewer, scoring, audit log. EOD: `pytest` green in mock mode</t>
  </si>
  <si>
    <t xml:space="preserve">Thu</t>
  </si>
  <si>
    <t xml:space="preserve">Brief confirmation, override, report diagram/risks, export, prompt tuning, real-model regression</t>
  </si>
  <si>
    <t xml:space="preserve">Fri</t>
  </si>
  <si>
    <t xml:space="preserve">12:00 code freeze → bug fixes → 15:00 dry run → demo</t>
  </si>
  <si>
    <t xml:space="preserve">Already in boilerplate</t>
  </si>
  <si>
    <t xml:space="preserve">Analyzer + clarifying questions, rule-based selector (8 agents), parallel specialists, reviewer with rework cap + escalation, scoring, catalogue guard, Markdown report, SQLite run log, .txt/.pdf/.docx intake, 12 tests.</t>
  </si>
  <si>
    <t xml:space="preserve">Deferred (after Friday)</t>
  </si>
  <si>
    <t xml:space="preserve">• Role-based access + access-controlled sharing of recommendations (NFR-4, sharing part of US-8)</t>
  </si>
  <si>
    <t xml:space="preserve">• Web form UI for structured intake (CLI/JSON form only this week)</t>
  </si>
  <si>
    <t xml:space="preserve">• Separate Networking, API, Mobile-architecture and Data-Engineering agents (covered by existing agents for now)</t>
  </si>
  <si>
    <t xml:space="preserve">• Deployment to Cloud Run / Vertex AI</t>
  </si>
  <si>
    <t xml:space="preserve">How to use</t>
  </si>
  <si>
    <t xml:space="preserve">• Fill the yellow 'Assignee (name)' column on Task Plan with each person's name.</t>
  </si>
  <si>
    <t xml:space="preserve">• Update 'Status' daily from the dropdown; this page's counts and % update automatically.</t>
  </si>
  <si>
    <t xml:space="preserve">• Priority: P0 = must have for Friday demo, P1 = should have, P2 = nice to have (drop first if behind).</t>
  </si>
  <si>
    <t xml:space="preserve">ID</t>
  </si>
  <si>
    <t xml:space="preserve">Workstream</t>
  </si>
  <si>
    <t xml:space="preserve">Task</t>
  </si>
  <si>
    <t xml:space="preserve">Details / Done when</t>
  </si>
  <si>
    <t xml:space="preserve">Req. refs</t>
  </si>
  <si>
    <t xml:space="preserve">Owner</t>
  </si>
  <si>
    <t xml:space="preserve">Owner role</t>
  </si>
  <si>
    <t xml:space="preserve">Files</t>
  </si>
  <si>
    <t xml:space="preserve">Depends on</t>
  </si>
  <si>
    <t xml:space="preserve">Priority</t>
  </si>
  <si>
    <t xml:space="preserve">Day</t>
  </si>
  <si>
    <t xml:space="preserve">Status</t>
  </si>
  <si>
    <t xml:space="preserve">Assignee (name)</t>
  </si>
  <si>
    <t xml:space="preserve">Notes</t>
  </si>
  <si>
    <t xml:space="preserve">T01</t>
  </si>
  <si>
    <t xml:space="preserve">Kick-off</t>
  </si>
  <si>
    <t xml:space="preserve">Kick-off &amp; environment setup</t>
  </si>
  <si>
    <t xml:space="preserve">Walk through the boilerplate; everyone runs `pytest` and `scripts/run.py --all` in mock mode, sets a Gemini key in .env. Agree new agent names (accessibility, reliability, cost, devops, evaluation) so R1/R2 can work in parallel.</t>
  </si>
  <si>
    <t xml:space="preserve">—</t>
  </si>
  <si>
    <t xml:space="preserve">.env, README.md</t>
  </si>
  <si>
    <t xml:space="preserve">P0</t>
  </si>
  <si>
    <t xml:space="preserve">Not started</t>
  </si>
  <si>
    <t xml:space="preserve">T02</t>
  </si>
  <si>
    <t xml:space="preserve">Orchestration &amp; Selection</t>
  </si>
  <si>
    <t xml:space="preserve">Analyzer: add applicability flags + better multi-domain classification</t>
  </si>
  <si>
    <t xml:space="preserve">Add `reliability_required`, `cost_relevant`, `accessibility_relevant` to AnalyzerOutput; prompt detects combined domains (e.g. full-stack + cloud). Done when the 5 inputs in Req §8 classify as listed.</t>
  </si>
  <si>
    <t xml:space="preserve">FR-2.1–2.3</t>
  </si>
  <si>
    <t xml:space="preserve">agents/analyzer.py, schemas.py, prompts.py</t>
  </si>
  <si>
    <t xml:space="preserve">T03</t>
  </si>
  <si>
    <t xml:space="preserve">Selector: register new specialists and gate them</t>
  </si>
  <si>
    <t xml:space="preserve">Add new agents to SPECIALISTS / DOMAIN_RULES; reliability + cost only when flags/cloud say so; accessibility for frontend/mobile; evaluation for aiml. Frontend-only must NOT activate cloud, reliability or cost.</t>
  </si>
  <si>
    <t xml:space="preserve">FR-3.1, FR-3.4, FR-6.1–6.4, US-3</t>
  </si>
  <si>
    <t xml:space="preserve">selector.py</t>
  </si>
  <si>
    <t xml:space="preserve">T04</t>
  </si>
  <si>
    <t xml:space="preserve">Brief confirmation step before design</t>
  </si>
  <si>
    <t xml:space="preserve">After analysis, show the structured brief and pause; user replies 'confirm' or corrections; specialists run only after confirmation (session-state flag). Mock test must still pass.</t>
  </si>
  <si>
    <t xml:space="preserve">FR-1.4, US-1</t>
  </si>
  <si>
    <t xml:space="preserve">orchestrator.py</t>
  </si>
  <si>
    <t xml:space="preserve">T05</t>
  </si>
  <si>
    <t xml:space="preserve">Human override of AI decision</t>
  </si>
  <si>
    <t xml:space="preserve">On APPROVED/ESCALATED result accept `override approve|rework: &lt;reason&gt;`; reason is mandatory; decision written to audit log and shown in report.</t>
  </si>
  <si>
    <t xml:space="preserve">US-7, FR-7.6</t>
  </si>
  <si>
    <t xml:space="preserve">orchestrator.py, storage.py</t>
  </si>
  <si>
    <t xml:space="preserve">T13</t>
  </si>
  <si>
    <t xml:space="preserve">T06</t>
  </si>
  <si>
    <t xml:space="preserve">Pass only relevant context to each specialist</t>
  </si>
  <si>
    <t xml:space="preserve">Slice the brief per agent (e.g. cost agent gets scale/budget, not UI pages) to reduce tokens and noise.</t>
  </si>
  <si>
    <t xml:space="preserve">FR-3.3</t>
  </si>
  <si>
    <t xml:space="preserve">agents/specialists.py</t>
  </si>
  <si>
    <t xml:space="preserve">P1</t>
  </si>
  <si>
    <t xml:space="preserve">T07</t>
  </si>
  <si>
    <t xml:space="preserve">Structured form intake</t>
  </si>
  <si>
    <t xml:space="preserve">Accept a JSON/YAML form (title, users, scale, constraints, compliance, budget) via `run.py --form`; convert to requirement text. Add a sample form under scenarios/.</t>
  </si>
  <si>
    <t xml:space="preserve">FR-1.1</t>
  </si>
  <si>
    <t xml:space="preserve">intake.py, scripts/run.py</t>
  </si>
  <si>
    <t xml:space="preserve">P2</t>
  </si>
  <si>
    <t xml:space="preserve">T08</t>
  </si>
  <si>
    <t xml:space="preserve">Integration, code review &amp; merge</t>
  </si>
  <si>
    <t xml:space="preserve">Review all PRs, merge to main by Fri 12:00 code freeze, resolve conflicts in orchestrator/selector.</t>
  </si>
  <si>
    <t xml:space="preserve">T03–T22</t>
  </si>
  <si>
    <t xml:space="preserve">T09</t>
  </si>
  <si>
    <t xml:space="preserve">Specialist Agents</t>
  </si>
  <si>
    <t xml:space="preserve">Multi-cloud technology catalogue</t>
  </si>
  <si>
    <t xml:space="preserve">Add AWS and Azure categories (compute, data, security, AI) to catalogue.json; confirm catalogue.py check flags unknown tech.</t>
  </si>
  <si>
    <t xml:space="preserve">NFR-2, NFR-8, NFR-9</t>
  </si>
  <si>
    <t xml:space="preserve">data/catalogue.json, catalogue.py</t>
  </si>
  <si>
    <t xml:space="preserve">T10</t>
  </si>
  <si>
    <t xml:space="preserve">Accessibility agent</t>
  </si>
  <si>
    <t xml:space="preserve">Focus text: WCAG 2.2 AA, keyboard nav, contrast, ARIA, axe-core/Lighthouse checks.</t>
  </si>
  <si>
    <t xml:space="preserve">§7.3, US-3</t>
  </si>
  <si>
    <t xml:space="preserve">prompts.py (SPECIALIST_FOCUS)</t>
  </si>
  <si>
    <t xml:space="preserve">T11</t>
  </si>
  <si>
    <t xml:space="preserve">Reliability agent</t>
  </si>
  <si>
    <t xml:space="preserve">HA, fault tolerance, backup, DR, RTO/RPO — only meaningful when infra is in scope; say 'not applicable' otherwise.</t>
  </si>
  <si>
    <t xml:space="preserve">FR-6.2</t>
  </si>
  <si>
    <t xml:space="preserve">prompts.py</t>
  </si>
  <si>
    <t xml:space="preserve">T12</t>
  </si>
  <si>
    <t xml:space="preserve">Cost agent</t>
  </si>
  <si>
    <t xml:space="preserve">Cost drivers, rough monthly estimate ranges, optimization levers; flag assumptions on pricing.</t>
  </si>
  <si>
    <t xml:space="preserve">FR-6.3, NFR-2</t>
  </si>
  <si>
    <t xml:space="preserve">Mock responses for new agents</t>
  </si>
  <si>
    <t xml:space="preserve">Canned JSON for accessibility, reliability, cost, devops, evaluation in mock_llm.py so `pytest` and mock runs stay green.</t>
  </si>
  <si>
    <t xml:space="preserve">mock_llm.py</t>
  </si>
  <si>
    <t xml:space="preserve">T10–T12</t>
  </si>
  <si>
    <t xml:space="preserve">T14</t>
  </si>
  <si>
    <t xml:space="preserve">DevOps/Delivery agent</t>
  </si>
  <si>
    <t xml:space="preserve">CI/CD, environments, deployment strategy, release management — where applicable.</t>
  </si>
  <si>
    <t xml:space="preserve">§7.3</t>
  </si>
  <si>
    <t xml:space="preserve">T15</t>
  </si>
  <si>
    <t xml:space="preserve">Evaluation agent (AI solutions)</t>
  </si>
  <si>
    <t xml:space="preserve">RAG/LLM evaluation: golden set, groundedness, hallucination rate, latency/cost per query. Needed for Scenario D.</t>
  </si>
  <si>
    <t xml:space="preserve">§15 Scenario D</t>
  </si>
  <si>
    <t xml:space="preserve">T16</t>
  </si>
  <si>
    <t xml:space="preserve">Security: compliance mapping</t>
  </si>
  <si>
    <t xml:space="preserve">Map named compliance needs (GDPR, SOC 2, HIPAA, PCI-DSS) to controls; never force cloud controls on frontend-only.</t>
  </si>
  <si>
    <t xml:space="preserve">FR-5.1–5.4, US-4</t>
  </si>
  <si>
    <t xml:space="preserve">T17</t>
  </si>
  <si>
    <t xml:space="preserve">Prompt tuning with Gemini on all scenarios</t>
  </si>
  <si>
    <t xml:space="preserve">Every specialist output has rationale, ≥1 alternative per major choice, explicit assumptions. Iterate until Reviewer stops raising 'missing rationale' findings.</t>
  </si>
  <si>
    <t xml:space="preserve">FR-4.1–4.5, NFR-3</t>
  </si>
  <si>
    <t xml:space="preserve">T13, T23</t>
  </si>
  <si>
    <t xml:space="preserve">T18</t>
  </si>
  <si>
    <t xml:space="preserve">Guardrails: scope &amp; refusal</t>
  </si>
  <si>
    <t xml:space="preserve">Specialists refuse unsafe/out-of-scope tasks and don't add components outside the confirmed scope.</t>
  </si>
  <si>
    <t xml:space="preserve">NFR-9</t>
  </si>
  <si>
    <t xml:space="preserve">T19</t>
  </si>
  <si>
    <t xml:space="preserve">Bug fixes from QA run</t>
  </si>
  <si>
    <t xml:space="preserve">Fix issues R4 logs on Thu/Fri for specialist outputs.</t>
  </si>
  <si>
    <t xml:space="preserve">T28</t>
  </si>
  <si>
    <t xml:space="preserve">T20</t>
  </si>
  <si>
    <t xml:space="preserve">Review, Report &amp; Audit</t>
  </si>
  <si>
    <t xml:space="preserve">Reviewer: scope-fit &amp; unnecessary-component checks</t>
  </si>
  <si>
    <t xml:space="preserve">Reviewer flags components not justified by the brief, checks tech fits project type, routes findings to new agents by name.</t>
  </si>
  <si>
    <t xml:space="preserve">§7.4, FR-7.1–7.4</t>
  </si>
  <si>
    <t xml:space="preserve">agents/reviewer.py, prompts.py</t>
  </si>
  <si>
    <t xml:space="preserve">T21</t>
  </si>
  <si>
    <t xml:space="preserve">Dynamic quality score</t>
  </si>
  <si>
    <t xml:space="preserve">Add accessibility, reliability, cost, maintainability, scalability dimensions; score only applicable ones; weights per project type.</t>
  </si>
  <si>
    <t xml:space="preserve">§12</t>
  </si>
  <si>
    <t xml:space="preserve">scoring.py, tests/test_scoring.py</t>
  </si>
  <si>
    <t xml:space="preserve">T22</t>
  </si>
  <si>
    <t xml:space="preserve">Audit log completeness</t>
  </si>
  <si>
    <t xml:space="preserve">Log prompts, agent outputs, every rework iteration and human overrides (new table); `list_runs.py` shows overrides.</t>
  </si>
  <si>
    <t xml:space="preserve">NFR-5, US-7</t>
  </si>
  <si>
    <t xml:space="preserve">storage.py, scripts/list_runs.py</t>
  </si>
  <si>
    <t xml:space="preserve">T23</t>
  </si>
  <si>
    <t xml:space="preserve">Approval rules</t>
  </si>
  <si>
    <t xml:space="preserve">APPROVED only if no Critical, no unresolved High (unless overridden), score ≥ threshold, assumptions + rationale present.</t>
  </si>
  <si>
    <t xml:space="preserve">§10, US-6</t>
  </si>
  <si>
    <t xml:space="preserve">scoring.py, orchestrator.py</t>
  </si>
  <si>
    <t xml:space="preserve">T24</t>
  </si>
  <si>
    <t xml:space="preserve">Report: diagram + risk register</t>
  </si>
  <si>
    <t xml:space="preserve">Add Mermaid architecture diagram to Solution Design; risks table with severity, likelihood, impact, mitigation, owner.</t>
  </si>
  <si>
    <t xml:space="preserve">§11</t>
  </si>
  <si>
    <t xml:space="preserve">report.py, schemas.py</t>
  </si>
  <si>
    <t xml:space="preserve">T25</t>
  </si>
  <si>
    <t xml:space="preserve">Export to DOCX and PDF</t>
  </si>
  <si>
    <t xml:space="preserve">`run.py --export docx|pdf` produces the 8-part package from the Markdown report.</t>
  </si>
  <si>
    <t xml:space="preserve">US-8</t>
  </si>
  <si>
    <t xml:space="preserve">report.py, new export.py, requirements.txt</t>
  </si>
  <si>
    <t xml:space="preserve">T26</t>
  </si>
  <si>
    <t xml:space="preserve">Fix issues R4 logs for reviewer, scoring, report and export.</t>
  </si>
  <si>
    <t xml:space="preserve">T27</t>
  </si>
  <si>
    <t xml:space="preserve">QA &amp; Demo</t>
  </si>
  <si>
    <t xml:space="preserve">Baseline run &amp; gap log</t>
  </si>
  <si>
    <t xml:space="preserve">Run pytest, mock `--all` and Gemini `--all`; record which agents fire per scenario, scores, time taken; log gaps for the team.</t>
  </si>
  <si>
    <t xml:space="preserve">NFR-1</t>
  </si>
  <si>
    <t xml:space="preserve">outputs/</t>
  </si>
  <si>
    <t xml:space="preserve">Acceptance test matrix</t>
  </si>
  <si>
    <t xml:space="preserve">One row per US-1…US-8 and per Req §8 example: input, expected classification, expected agents, expected status. Shared with all owners.</t>
  </si>
  <si>
    <t xml:space="preserve">US-1–US-8, §8</t>
  </si>
  <si>
    <t xml:space="preserve">tests/ (or sheet)</t>
  </si>
  <si>
    <t xml:space="preserve">T29</t>
  </si>
  <si>
    <t xml:space="preserve">New scenarios</t>
  </si>
  <si>
    <t xml:space="preserve">Add: REST API + PostgreSQL, GCP data pipeline, mobile app, SaaS + AWS (multi-domain), compliance-heavy (GDPR).</t>
  </si>
  <si>
    <t xml:space="preserve">FR-2.2, NFR-7, NFR-8</t>
  </si>
  <si>
    <t xml:space="preserve">scenarios/</t>
  </si>
  <si>
    <t xml:space="preserve">T30</t>
  </si>
  <si>
    <t xml:space="preserve">Selector tests for all §8 rows</t>
  </si>
  <si>
    <t xml:space="preserve">Parametrised tests incl. negative test: frontend-only activates no cloud/reliability/cost agent.</t>
  </si>
  <si>
    <t xml:space="preserve">US-2, US-3, FR-6.4</t>
  </si>
  <si>
    <t xml:space="preserve">tests/test_selector.py</t>
  </si>
  <si>
    <t xml:space="preserve">T31</t>
  </si>
  <si>
    <t xml:space="preserve">End-to-end mock tests</t>
  </si>
  <si>
    <t xml:space="preserve">Rework loop cap, escalation, clarifying questions on vague input (scenario 5), brief confirmation pause.</t>
  </si>
  <si>
    <t xml:space="preserve">FR-1.3, FR-7.5–7.6, US-6</t>
  </si>
  <si>
    <t xml:space="preserve">tests/test_pipeline_mock.py</t>
  </si>
  <si>
    <t xml:space="preserve">T04, T13</t>
  </si>
  <si>
    <t xml:space="preserve">T32</t>
  </si>
  <si>
    <t xml:space="preserve">Real-model regression run</t>
  </si>
  <si>
    <t xml:space="preserve">Run every scenario with Gemini after merges; record score, agents, iterations, time; file bugs to R2/R3.</t>
  </si>
  <si>
    <t xml:space="preserve">NFR-1, NFR-3</t>
  </si>
  <si>
    <t xml:space="preserve">T17, T24</t>
  </si>
  <si>
    <t xml:space="preserve">T33</t>
  </si>
  <si>
    <t xml:space="preserve">Override &amp; export checks</t>
  </si>
  <si>
    <t xml:space="preserve">Override needs reason and appears in audit log + report; DOCX/PDF open and contain all 8 parts.</t>
  </si>
  <si>
    <t xml:space="preserve">US-7, US-8</t>
  </si>
  <si>
    <t xml:space="preserve">T05, T25</t>
  </si>
  <si>
    <t xml:space="preserve">T34</t>
  </si>
  <si>
    <t xml:space="preserve">Demo script &amp; dry run</t>
  </si>
  <si>
    <t xml:space="preserve">Pick 3 scenarios (frontend-only, full-stack+cloud, RAG); talking points per step; dry run 15:00 Fri.</t>
  </si>
  <si>
    <t xml:space="preserve">T35</t>
  </si>
  <si>
    <t xml:space="preserve">Friday demo</t>
  </si>
  <si>
    <t xml:space="preserve">Code freeze 12:00 → dry run 15:00 → demo. R1 presents architecture, R4 runs scenarios.</t>
  </si>
  <si>
    <t xml:space="preserve">Tue 6 Oct</t>
  </si>
  <si>
    <t xml:space="preserve">Wed 7 Oct</t>
  </si>
  <si>
    <t xml:space="preserve">Thu 8 Oct</t>
  </si>
  <si>
    <t xml:space="preserve">Fri 9 Oct</t>
  </si>
  <si>
    <t xml:space="preserve">R1 – Agent Engineer – Orchestration &amp; Selection (tech lead)</t>
  </si>
  <si>
    <t xml:space="preserve">T01 Kick-off &amp; environment setup (1h)
T02 Analyzer: add applicability flags + better multi-domain classification (3h)</t>
  </si>
  <si>
    <t xml:space="preserve">T03 Selector: register new specialists and gate them (4h)
T04 Brief confirmation step before design (4h)</t>
  </si>
  <si>
    <t xml:space="preserve">T05 Human override of AI decision (4h)
T06 Pass only relevant context to each specialist (2h)
T07 Structured form intake (3h)</t>
  </si>
  <si>
    <t xml:space="preserve">T08 Integration, code review &amp; merge (3h)
T35 Friday demo (1.5h)</t>
  </si>
  <si>
    <t xml:space="preserve">R2 – Agent Engineer – Specialist Agents &amp; Prompts</t>
  </si>
  <si>
    <t xml:space="preserve">T01 Kick-off &amp; environment setup (1h)
T09 Multi-cloud technology catalogue (2h)
T10 Accessibility agent (1.5h)</t>
  </si>
  <si>
    <t xml:space="preserve">T11 Reliability agent (1.5h)
T12 Cost agent (2h)
T13 Mock responses for new agents (2h)
T14 DevOps/Delivery agent (1.5h)</t>
  </si>
  <si>
    <t xml:space="preserve">T15 Evaluation agent (AI solutions) (1.5h)
T16 Security: compliance mapping (2h)
T17 Prompt tuning with Gemini on all scenarios (4h)</t>
  </si>
  <si>
    <t xml:space="preserve">T18 Guardrails: scope &amp; refusal (2h)
T19 Bug fixes from QA run (3h)
T35 Friday demo (1.5h)</t>
  </si>
  <si>
    <t xml:space="preserve">R3 – Backend Dev – Reviewer, Scoring, Report &amp; Audit</t>
  </si>
  <si>
    <t xml:space="preserve">T01 Kick-off &amp; environment setup (1h)</t>
  </si>
  <si>
    <t xml:space="preserve">T20 Reviewer: scope-fit &amp; unnecessary-component checks (3h)
T21 Dynamic quality score (3h)
T22 Audit log completeness (3h)</t>
  </si>
  <si>
    <t xml:space="preserve">T23 Approval rules (2h)
T24 Report: diagram + risk register (4h)
T25 Export to DOCX and PDF (4h)</t>
  </si>
  <si>
    <t xml:space="preserve">T26 Bug fixes from QA run (3h)
T35 Friday demo (1.5h)</t>
  </si>
  <si>
    <t xml:space="preserve">R4 – QA / Test &amp; Demo Engineer</t>
  </si>
  <si>
    <t xml:space="preserve">T01 Kick-off &amp; environment setup (1h)
T27 Baseline run &amp; gap log (2h)
T28 Acceptance test matrix (3h)</t>
  </si>
  <si>
    <t xml:space="preserve">T29 New scenarios (1.5h)
T30 Selector tests for all §8 rows (2h)</t>
  </si>
  <si>
    <t xml:space="preserve">T31 End-to-end mock tests (3h)
T32 Real-model regression run (3h)</t>
  </si>
  <si>
    <t xml:space="preserve">T33 Override &amp; export checks (2h)
T34 Demo script &amp; dry run (3h)
T35 Friday demo (1.5h)</t>
  </si>
  <si>
    <t xml:space="preserve">Requirement</t>
  </si>
  <si>
    <t xml:space="preserve">Current state in boilerplate</t>
  </si>
  <si>
    <t xml:space="preserve">Covered by tasks</t>
  </si>
  <si>
    <t xml:space="preserve">FR-1 Requirement intake</t>
  </si>
  <si>
    <t xml:space="preserve">Existing: text/PDF/DOCX + clarifying Qs</t>
  </si>
  <si>
    <t xml:space="preserve">T04, T07, T31</t>
  </si>
  <si>
    <t xml:space="preserve">FR-2 Classification</t>
  </si>
  <si>
    <t xml:space="preserve">Existing: domains + confidence</t>
  </si>
  <si>
    <t xml:space="preserve">T02, T30</t>
  </si>
  <si>
    <t xml:space="preserve">FR-3 Dynamic orchestration</t>
  </si>
  <si>
    <t xml:space="preserve">Existing: rule table, parallel run</t>
  </si>
  <si>
    <t xml:space="preserve">T03, T06</t>
  </si>
  <si>
    <t xml:space="preserve">FR-4 Solution design</t>
  </si>
  <si>
    <t xml:space="preserve">Existing: SpecialistOutput schema</t>
  </si>
  <si>
    <t xml:space="preserve">FR-5 Security</t>
  </si>
  <si>
    <t xml:space="preserve">Existing: security focus</t>
  </si>
  <si>
    <t xml:space="preserve">FR-6 Perf / reliability / cost</t>
  </si>
  <si>
    <t xml:space="preserve">Partial: performance only</t>
  </si>
  <si>
    <t xml:space="preserve">T03, T11, T12</t>
  </si>
  <si>
    <t xml:space="preserve">FR-7 Review &amp; rework</t>
  </si>
  <si>
    <t xml:space="preserve">Existing: cap + escalate</t>
  </si>
  <si>
    <t xml:space="preserve">T20, T23, T31</t>
  </si>
  <si>
    <t xml:space="preserve">§10 Approval criteria</t>
  </si>
  <si>
    <t xml:space="preserve">Partial</t>
  </si>
  <si>
    <t xml:space="preserve">§11 Recommendation package</t>
  </si>
  <si>
    <t xml:space="preserve">Partial: Markdown, no diagram/risk owner</t>
  </si>
  <si>
    <t xml:space="preserve">T24, T25</t>
  </si>
  <si>
    <t xml:space="preserve">§12 Dynamic quality score</t>
  </si>
  <si>
    <t xml:space="preserve">Partial: fewer dimensions</t>
  </si>
  <si>
    <t xml:space="preserve">NFR-1 Performance</t>
  </si>
  <si>
    <t xml:space="preserve">Not measured</t>
  </si>
  <si>
    <t xml:space="preserve">T27, T32</t>
  </si>
  <si>
    <t xml:space="preserve">NFR-2 / NFR-9 Catalogue &amp; guardrails</t>
  </si>
  <si>
    <t xml:space="preserve">Existing: GCP-only catalogue</t>
  </si>
  <si>
    <t xml:space="preserve">T09, T18</t>
  </si>
  <si>
    <t xml:space="preserve">NFR-3 Explainability</t>
  </si>
  <si>
    <t xml:space="preserve">NFR-4 Security / RBAC</t>
  </si>
  <si>
    <t xml:space="preserve">Deferred</t>
  </si>
  <si>
    <t xml:space="preserve">NFR-5 Auditability</t>
  </si>
  <si>
    <t xml:space="preserve">Partial: run log only</t>
  </si>
  <si>
    <t xml:space="preserve">NFR-6 Extensibility</t>
  </si>
  <si>
    <t xml:space="preserve">Existing: one-template specialists</t>
  </si>
  <si>
    <t xml:space="preserve">NFR-7 Multi-domain</t>
  </si>
  <si>
    <t xml:space="preserve">T02, T29</t>
  </si>
  <si>
    <t xml:space="preserve">NFR-8 Multi-cloud</t>
  </si>
  <si>
    <t xml:space="preserve">GCP only</t>
  </si>
  <si>
    <t xml:space="preserve">T09, T29</t>
  </si>
  <si>
    <t xml:space="preserve">US-1 Plain-language input + brief</t>
  </si>
  <si>
    <t xml:space="preserve">US-2 Explainable agent selection</t>
  </si>
  <si>
    <t xml:space="preserve">Existing</t>
  </si>
  <si>
    <t xml:space="preserve">US-3 Frontend-only avoids cloud</t>
  </si>
  <si>
    <t xml:space="preserve">Existing (cloud gate)</t>
  </si>
  <si>
    <t xml:space="preserve">T03, T30</t>
  </si>
  <si>
    <t xml:space="preserve">US-4 Security &amp; compliance</t>
  </si>
  <si>
    <t xml:space="preserve">US-5 Perf/reliability/cost when relevant</t>
  </si>
  <si>
    <t xml:space="preserve">T11, T12</t>
  </si>
  <si>
    <t xml:space="preserve">US-6 Reviewed before shown</t>
  </si>
  <si>
    <t xml:space="preserve">T23, T31</t>
  </si>
  <si>
    <t xml:space="preserve">US-7 Human override with reason</t>
  </si>
  <si>
    <t xml:space="preserve">T05, T22, T33</t>
  </si>
  <si>
    <t xml:space="preserve">US-8 Export &amp; share</t>
  </si>
  <si>
    <t xml:space="preserve">Markdown only</t>
  </si>
  <si>
    <t xml:space="preserve">T25, T33 (sharing deferred)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</si>
</sst>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%"/>
    <numFmt numFmtId="166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DEBF7"/>
        <bgColor rgb="FFEDEDED"/>
      </patternFill>
    </fill>
    <fill>
      <patternFill patternType="solid">
        <fgColor rgb="FFE2EFDA"/>
        <bgColor rgb="FFEDEDED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EDEDED"/>
        <bgColor rgb="FFE2EFDA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5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BDD7E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ont>
        <name val="Arial"/>
        <charset val="1"/>
        <family val="0"/>
        <b val="1"/>
        <color rgb="FFC00000"/>
      </font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FEB9C"/>
      <rgbColor rgb="FFEDEDED"/>
      <rgbColor rgb="FFFCE4D6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8"/>
    <col collapsed="false" customWidth="true" hidden="false" outlineLevel="0" max="8" min="3" style="0" width="13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27.7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</row>
    <row r="5" customFormat="false" ht="15" hidden="false" customHeight="fals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</row>
    <row r="6" customFormat="false" ht="15" hidden="false" customHeight="false" outlineLevel="0" collapsed="false">
      <c r="A6" s="5" t="s">
        <v>10</v>
      </c>
      <c r="B6" s="6" t="s">
        <v>11</v>
      </c>
      <c r="C6" s="6" t="n">
        <f aca="false">COUNTIF('Task Plan'!$F$2:$F$36,A6)</f>
        <v>7</v>
      </c>
      <c r="D6" s="6" t="n">
        <f aca="false">SUMIF('Task Plan'!$F$2:$F$36,A6,'Task Plan'!$L$2:$L$36)</f>
        <v>23</v>
      </c>
      <c r="E6" s="6" t="n">
        <f aca="false">COUNTIFS('Task Plan'!$F$2:$F$36,A6,'Task Plan'!$M$2:$M$36,"Done")</f>
        <v>0</v>
      </c>
      <c r="F6" s="6" t="n">
        <f aca="false">COUNTIFS('Task Plan'!$F$2:$F$36,A6,'Task Plan'!$M$2:$M$36,"Blocked")</f>
        <v>0</v>
      </c>
      <c r="G6" s="7" t="n">
        <f aca="false">IF(D6=0,0,SUMIFS('Task Plan'!$L$2:$L$36,'Task Plan'!$F$2:$F$36,A6,'Task Plan'!$M$2:$M$36,"Done")/D6)</f>
        <v>0</v>
      </c>
    </row>
    <row r="7" customFormat="false" ht="15" hidden="false" customHeight="false" outlineLevel="0" collapsed="false">
      <c r="A7" s="8" t="s">
        <v>12</v>
      </c>
      <c r="B7" s="6" t="s">
        <v>13</v>
      </c>
      <c r="C7" s="6" t="n">
        <f aca="false">COUNTIF('Task Plan'!$F$2:$F$36,A7)</f>
        <v>11</v>
      </c>
      <c r="D7" s="6" t="n">
        <f aca="false">SUMIF('Task Plan'!$F$2:$F$36,A7,'Task Plan'!$L$2:$L$36)</f>
        <v>23</v>
      </c>
      <c r="E7" s="6" t="n">
        <f aca="false">COUNTIFS('Task Plan'!$F$2:$F$36,A7,'Task Plan'!$M$2:$M$36,"Done")</f>
        <v>0</v>
      </c>
      <c r="F7" s="6" t="n">
        <f aca="false">COUNTIFS('Task Plan'!$F$2:$F$36,A7,'Task Plan'!$M$2:$M$36,"Blocked")</f>
        <v>0</v>
      </c>
      <c r="G7" s="7" t="n">
        <f aca="false">IF(D7=0,0,SUMIFS('Task Plan'!$L$2:$L$36,'Task Plan'!$F$2:$F$36,A7,'Task Plan'!$M$2:$M$36,"Done")/D7)</f>
        <v>0</v>
      </c>
    </row>
    <row r="8" customFormat="false" ht="15" hidden="false" customHeight="false" outlineLevel="0" collapsed="false">
      <c r="A8" s="9" t="s">
        <v>14</v>
      </c>
      <c r="B8" s="6" t="s">
        <v>15</v>
      </c>
      <c r="C8" s="6" t="n">
        <f aca="false">COUNTIF('Task Plan'!$F$2:$F$36,A8)</f>
        <v>7</v>
      </c>
      <c r="D8" s="6" t="n">
        <f aca="false">SUMIF('Task Plan'!$F$2:$F$36,A8,'Task Plan'!$L$2:$L$36)</f>
        <v>22</v>
      </c>
      <c r="E8" s="6" t="n">
        <f aca="false">COUNTIFS('Task Plan'!$F$2:$F$36,A8,'Task Plan'!$M$2:$M$36,"Done")</f>
        <v>0</v>
      </c>
      <c r="F8" s="6" t="n">
        <f aca="false">COUNTIFS('Task Plan'!$F$2:$F$36,A8,'Task Plan'!$M$2:$M$36,"Blocked")</f>
        <v>0</v>
      </c>
      <c r="G8" s="7" t="n">
        <f aca="false">IF(D8=0,0,SUMIFS('Task Plan'!$L$2:$L$36,'Task Plan'!$F$2:$F$36,A8,'Task Plan'!$M$2:$M$36,"Done")/D8)</f>
        <v>0</v>
      </c>
    </row>
    <row r="9" customFormat="false" ht="15" hidden="false" customHeight="false" outlineLevel="0" collapsed="false">
      <c r="A9" s="10" t="s">
        <v>16</v>
      </c>
      <c r="B9" s="6" t="s">
        <v>17</v>
      </c>
      <c r="C9" s="6" t="n">
        <f aca="false">COUNTIF('Task Plan'!$F$2:$F$36,A9)</f>
        <v>8</v>
      </c>
      <c r="D9" s="6" t="n">
        <f aca="false">SUMIF('Task Plan'!$F$2:$F$36,A9,'Task Plan'!$L$2:$L$36)</f>
        <v>19.5</v>
      </c>
      <c r="E9" s="6" t="n">
        <f aca="false">COUNTIFS('Task Plan'!$F$2:$F$36,A9,'Task Plan'!$M$2:$M$36,"Done")</f>
        <v>0</v>
      </c>
      <c r="F9" s="6" t="n">
        <f aca="false">COUNTIFS('Task Plan'!$F$2:$F$36,A9,'Task Plan'!$M$2:$M$36,"Blocked")</f>
        <v>0</v>
      </c>
      <c r="G9" s="7" t="n">
        <f aca="false">IF(D9=0,0,SUMIFS('Task Plan'!$L$2:$L$36,'Task Plan'!$F$2:$F$36,A9,'Task Plan'!$M$2:$M$36,"Done")/D9)</f>
        <v>0</v>
      </c>
    </row>
    <row r="10" customFormat="false" ht="15" hidden="false" customHeight="false" outlineLevel="0" collapsed="false">
      <c r="A10" s="11" t="s">
        <v>18</v>
      </c>
      <c r="B10" s="6" t="s">
        <v>19</v>
      </c>
      <c r="C10" s="6" t="n">
        <f aca="false">COUNTIF('Task Plan'!$F$2:$F$36,A10)</f>
        <v>2</v>
      </c>
      <c r="D10" s="6" t="n">
        <f aca="false">SUMIF('Task Plan'!$F$2:$F$36,A10,'Task Plan'!$L$2:$L$36)</f>
        <v>2.5</v>
      </c>
      <c r="E10" s="6" t="n">
        <f aca="false">COUNTIFS('Task Plan'!$F$2:$F$36,A10,'Task Plan'!$M$2:$M$36,"Done")</f>
        <v>0</v>
      </c>
      <c r="F10" s="6" t="n">
        <f aca="false">COUNTIFS('Task Plan'!$F$2:$F$36,A10,'Task Plan'!$M$2:$M$36,"Blocked")</f>
        <v>0</v>
      </c>
      <c r="G10" s="7" t="n">
        <f aca="false">IF(D10=0,0,SUMIFS('Task Plan'!$L$2:$L$36,'Task Plan'!$F$2:$F$36,A10,'Task Plan'!$M$2:$M$36,"Done")/D10)</f>
        <v>0</v>
      </c>
    </row>
    <row r="11" customFormat="false" ht="15" hidden="false" customHeight="false" outlineLevel="0" collapsed="false">
      <c r="A11" s="12" t="s">
        <v>20</v>
      </c>
      <c r="C11" s="13" t="n">
        <f aca="false">SUM(C6:C10)</f>
        <v>35</v>
      </c>
      <c r="D11" s="13" t="n">
        <f aca="false">SUM(D6:D10)</f>
        <v>90</v>
      </c>
      <c r="E11" s="13" t="n">
        <f aca="false">SUM(E6:E10)</f>
        <v>0</v>
      </c>
      <c r="F11" s="13" t="n">
        <f aca="false">SUM(F6:F10)</f>
        <v>0</v>
      </c>
      <c r="G11" s="14" t="n">
        <f aca="false">IF(D11=0,0,SUMIFS('Task Plan'!$L$2:$L$36,'Task Plan'!$M$2:$M$36,"Done")/D11)</f>
        <v>0</v>
      </c>
    </row>
    <row r="12" customFormat="false" ht="15" hidden="false" customHeight="false" outlineLevel="0" collapsed="false">
      <c r="A12" s="15" t="s">
        <v>21</v>
      </c>
    </row>
    <row r="14" customFormat="false" ht="15" hidden="false" customHeight="false" outlineLevel="0" collapsed="false">
      <c r="A14" s="16" t="s">
        <v>22</v>
      </c>
    </row>
    <row r="15" customFormat="false" ht="15" hidden="false" customHeight="false" outlineLevel="0" collapsed="false">
      <c r="A15" s="17" t="s">
        <v>23</v>
      </c>
      <c r="B15" s="18" t="s">
        <v>24</v>
      </c>
      <c r="C15" s="18"/>
      <c r="D15" s="18"/>
      <c r="E15" s="18"/>
      <c r="F15" s="18"/>
      <c r="G15" s="18"/>
      <c r="H15" s="18"/>
    </row>
    <row r="16" customFormat="false" ht="15" hidden="false" customHeight="false" outlineLevel="0" collapsed="false">
      <c r="A16" s="17" t="s">
        <v>25</v>
      </c>
      <c r="B16" s="18" t="s">
        <v>26</v>
      </c>
      <c r="C16" s="18"/>
      <c r="D16" s="18"/>
      <c r="E16" s="18"/>
      <c r="F16" s="18"/>
      <c r="G16" s="18"/>
      <c r="H16" s="18"/>
    </row>
    <row r="17" customFormat="false" ht="15" hidden="false" customHeight="false" outlineLevel="0" collapsed="false">
      <c r="A17" s="17" t="s">
        <v>27</v>
      </c>
      <c r="B17" s="18" t="s">
        <v>28</v>
      </c>
      <c r="C17" s="18"/>
      <c r="D17" s="18"/>
      <c r="E17" s="18"/>
      <c r="F17" s="18"/>
      <c r="G17" s="18"/>
      <c r="H17" s="18"/>
    </row>
    <row r="18" customFormat="false" ht="15" hidden="false" customHeight="false" outlineLevel="0" collapsed="false">
      <c r="A18" s="17" t="s">
        <v>29</v>
      </c>
      <c r="B18" s="18" t="s">
        <v>30</v>
      </c>
      <c r="C18" s="18"/>
      <c r="D18" s="18"/>
      <c r="E18" s="18"/>
      <c r="F18" s="18"/>
      <c r="G18" s="18"/>
      <c r="H18" s="18"/>
    </row>
    <row r="20" customFormat="false" ht="15" hidden="false" customHeight="false" outlineLevel="0" collapsed="false">
      <c r="A20" s="16" t="s">
        <v>31</v>
      </c>
    </row>
    <row r="21" customFormat="false" ht="39.75" hidden="false" customHeight="true" outlineLevel="0" collapsed="false">
      <c r="B21" s="3" t="s">
        <v>32</v>
      </c>
      <c r="C21" s="3"/>
      <c r="D21" s="3"/>
      <c r="E21" s="3"/>
      <c r="F21" s="3"/>
      <c r="G21" s="3"/>
      <c r="H21" s="3"/>
    </row>
    <row r="23" customFormat="false" ht="15" hidden="false" customHeight="false" outlineLevel="0" collapsed="false">
      <c r="A23" s="16" t="s">
        <v>33</v>
      </c>
    </row>
    <row r="24" customFormat="false" ht="15" hidden="false" customHeight="false" outlineLevel="0" collapsed="false">
      <c r="B24" s="18" t="s">
        <v>34</v>
      </c>
      <c r="C24" s="18"/>
      <c r="D24" s="18"/>
      <c r="E24" s="18"/>
      <c r="F24" s="18"/>
      <c r="G24" s="18"/>
      <c r="H24" s="18"/>
    </row>
    <row r="25" customFormat="false" ht="15" hidden="false" customHeight="false" outlineLevel="0" collapsed="false">
      <c r="B25" s="18" t="s">
        <v>35</v>
      </c>
      <c r="C25" s="18"/>
      <c r="D25" s="18"/>
      <c r="E25" s="18"/>
      <c r="F25" s="18"/>
      <c r="G25" s="18"/>
      <c r="H25" s="18"/>
    </row>
    <row r="26" customFormat="false" ht="15" hidden="false" customHeight="false" outlineLevel="0" collapsed="false">
      <c r="B26" s="18" t="s">
        <v>36</v>
      </c>
      <c r="C26" s="18"/>
      <c r="D26" s="18"/>
      <c r="E26" s="18"/>
      <c r="F26" s="18"/>
      <c r="G26" s="18"/>
      <c r="H26" s="18"/>
    </row>
    <row r="27" customFormat="false" ht="15" hidden="false" customHeight="false" outlineLevel="0" collapsed="false">
      <c r="B27" s="18" t="s">
        <v>37</v>
      </c>
      <c r="C27" s="18"/>
      <c r="D27" s="18"/>
      <c r="E27" s="18"/>
      <c r="F27" s="18"/>
      <c r="G27" s="18"/>
      <c r="H27" s="18"/>
    </row>
    <row r="29" customFormat="false" ht="15" hidden="false" customHeight="false" outlineLevel="0" collapsed="false">
      <c r="A29" s="16" t="s">
        <v>38</v>
      </c>
    </row>
    <row r="30" customFormat="false" ht="15" hidden="false" customHeight="false" outlineLevel="0" collapsed="false">
      <c r="B30" s="18" t="s">
        <v>39</v>
      </c>
      <c r="C30" s="18"/>
      <c r="D30" s="18"/>
      <c r="E30" s="18"/>
      <c r="F30" s="18"/>
      <c r="G30" s="18"/>
      <c r="H30" s="18"/>
    </row>
    <row r="31" customFormat="false" ht="15" hidden="false" customHeight="false" outlineLevel="0" collapsed="false">
      <c r="B31" s="18" t="s">
        <v>40</v>
      </c>
      <c r="C31" s="18"/>
      <c r="D31" s="18"/>
      <c r="E31" s="18"/>
      <c r="F31" s="18"/>
      <c r="G31" s="18"/>
      <c r="H31" s="18"/>
    </row>
    <row r="32" customFormat="false" ht="15" hidden="false" customHeight="false" outlineLevel="0" collapsed="false">
      <c r="B32" s="18" t="s">
        <v>41</v>
      </c>
      <c r="C32" s="18"/>
      <c r="D32" s="18"/>
      <c r="E32" s="18"/>
      <c r="F32" s="18"/>
      <c r="G32" s="18"/>
      <c r="H32" s="18"/>
    </row>
  </sheetData>
  <mergeCells count="13">
    <mergeCell ref="A3:H3"/>
    <mergeCell ref="B15:H15"/>
    <mergeCell ref="B16:H16"/>
    <mergeCell ref="B17:H17"/>
    <mergeCell ref="B18:H18"/>
    <mergeCell ref="B21:H21"/>
    <mergeCell ref="B24:H24"/>
    <mergeCell ref="B25:H25"/>
    <mergeCell ref="B26:H26"/>
    <mergeCell ref="B27:H27"/>
    <mergeCell ref="B30:H30"/>
    <mergeCell ref="B31:H31"/>
    <mergeCell ref="B32:H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0"/>
    <col collapsed="false" customWidth="true" hidden="false" outlineLevel="0" max="3" min="3" style="0" width="34"/>
    <col collapsed="false" customWidth="true" hidden="false" outlineLevel="0" max="4" min="4" style="0" width="60"/>
    <col collapsed="false" customWidth="true" hidden="false" outlineLevel="0" max="5" min="5" style="0" width="16"/>
    <col collapsed="false" customWidth="true" hidden="false" outlineLevel="0" max="6" min="6" style="0" width="7"/>
    <col collapsed="false" customWidth="true" hidden="false" outlineLevel="0" max="7" min="7" style="0" width="30"/>
    <col collapsed="false" customWidth="true" hidden="false" outlineLevel="0" max="8" min="8" style="0" width="26"/>
    <col collapsed="false" customWidth="true" hidden="false" outlineLevel="0" max="9" min="9" style="0" width="11"/>
    <col collapsed="false" customWidth="true" hidden="false" outlineLevel="0" max="10" min="10" style="0" width="8"/>
    <col collapsed="false" customWidth="true" hidden="false" outlineLevel="0" max="11" min="11" style="0" width="6"/>
    <col collapsed="false" customWidth="true" hidden="false" outlineLevel="0" max="12" min="12" style="0" width="8"/>
    <col collapsed="false" customWidth="true" hidden="false" outlineLevel="0" max="13" min="13" style="0" width="12"/>
    <col collapsed="false" customWidth="true" hidden="false" outlineLevel="0" max="14" min="14" style="0" width="16"/>
    <col collapsed="false" customWidth="true" hidden="false" outlineLevel="0" max="15" min="15" style="0" width="24"/>
  </cols>
  <sheetData>
    <row r="1" customFormat="false" ht="30" hidden="false" customHeight="true" outlineLevel="0" collapsed="false">
      <c r="A1" s="19" t="s">
        <v>42</v>
      </c>
      <c r="B1" s="19" t="s">
        <v>43</v>
      </c>
      <c r="C1" s="19" t="s">
        <v>44</v>
      </c>
      <c r="D1" s="19" t="s">
        <v>45</v>
      </c>
      <c r="E1" s="19" t="s">
        <v>46</v>
      </c>
      <c r="F1" s="19" t="s">
        <v>47</v>
      </c>
      <c r="G1" s="19" t="s">
        <v>48</v>
      </c>
      <c r="H1" s="19" t="s">
        <v>49</v>
      </c>
      <c r="I1" s="19" t="s">
        <v>50</v>
      </c>
      <c r="J1" s="19" t="s">
        <v>51</v>
      </c>
      <c r="K1" s="19" t="s">
        <v>52</v>
      </c>
      <c r="L1" s="19" t="s">
        <v>6</v>
      </c>
      <c r="M1" s="19" t="s">
        <v>53</v>
      </c>
      <c r="N1" s="19" t="s">
        <v>54</v>
      </c>
      <c r="O1" s="19" t="s">
        <v>55</v>
      </c>
    </row>
    <row r="2" customFormat="false" ht="46.25" hidden="false" customHeight="false" outlineLevel="0" collapsed="false">
      <c r="A2" s="20" t="s">
        <v>56</v>
      </c>
      <c r="B2" s="20" t="s">
        <v>57</v>
      </c>
      <c r="C2" s="20" t="s">
        <v>58</v>
      </c>
      <c r="D2" s="20" t="s">
        <v>59</v>
      </c>
      <c r="E2" s="20" t="s">
        <v>60</v>
      </c>
      <c r="F2" s="21" t="s">
        <v>18</v>
      </c>
      <c r="G2" s="20" t="str">
        <f aca="false">IFERROR(VLOOKUP(F2,Overview!$A$6:$B$10,2,FALSE()),"")</f>
        <v>Whole team (kick-off, demo)</v>
      </c>
      <c r="H2" s="20" t="s">
        <v>61</v>
      </c>
      <c r="I2" s="20" t="s">
        <v>60</v>
      </c>
      <c r="J2" s="20" t="s">
        <v>62</v>
      </c>
      <c r="K2" s="20" t="s">
        <v>23</v>
      </c>
      <c r="L2" s="20" t="n">
        <v>1</v>
      </c>
      <c r="M2" s="20" t="s">
        <v>63</v>
      </c>
      <c r="N2" s="22"/>
      <c r="O2" s="20"/>
    </row>
    <row r="3" customFormat="false" ht="35.05" hidden="false" customHeight="false" outlineLevel="0" collapsed="false">
      <c r="A3" s="20" t="s">
        <v>64</v>
      </c>
      <c r="B3" s="20" t="s">
        <v>65</v>
      </c>
      <c r="C3" s="20" t="s">
        <v>66</v>
      </c>
      <c r="D3" s="20" t="s">
        <v>67</v>
      </c>
      <c r="E3" s="20" t="s">
        <v>68</v>
      </c>
      <c r="F3" s="23" t="s">
        <v>10</v>
      </c>
      <c r="G3" s="20" t="str">
        <f aca="false">IFERROR(VLOOKUP(F3,Overview!$A$6:$B$10,2,FALSE()),"")</f>
        <v>Agent Engineer – Orchestration &amp; Selection (tech lead)</v>
      </c>
      <c r="H3" s="20" t="s">
        <v>69</v>
      </c>
      <c r="I3" s="20" t="s">
        <v>56</v>
      </c>
      <c r="J3" s="20" t="s">
        <v>62</v>
      </c>
      <c r="K3" s="20" t="s">
        <v>23</v>
      </c>
      <c r="L3" s="20" t="n">
        <v>3</v>
      </c>
      <c r="M3" s="20" t="s">
        <v>63</v>
      </c>
      <c r="N3" s="22"/>
      <c r="O3" s="20"/>
    </row>
    <row r="4" customFormat="false" ht="35.05" hidden="false" customHeight="false" outlineLevel="0" collapsed="false">
      <c r="A4" s="20" t="s">
        <v>70</v>
      </c>
      <c r="B4" s="20" t="s">
        <v>65</v>
      </c>
      <c r="C4" s="20" t="s">
        <v>71</v>
      </c>
      <c r="D4" s="20" t="s">
        <v>72</v>
      </c>
      <c r="E4" s="20" t="s">
        <v>73</v>
      </c>
      <c r="F4" s="23" t="s">
        <v>10</v>
      </c>
      <c r="G4" s="20" t="str">
        <f aca="false">IFERROR(VLOOKUP(F4,Overview!$A$6:$B$10,2,FALSE()),"")</f>
        <v>Agent Engineer – Orchestration &amp; Selection (tech lead)</v>
      </c>
      <c r="H4" s="20" t="s">
        <v>74</v>
      </c>
      <c r="I4" s="20" t="s">
        <v>64</v>
      </c>
      <c r="J4" s="20" t="s">
        <v>62</v>
      </c>
      <c r="K4" s="20" t="s">
        <v>25</v>
      </c>
      <c r="L4" s="20" t="n">
        <v>4</v>
      </c>
      <c r="M4" s="20" t="s">
        <v>63</v>
      </c>
      <c r="N4" s="22"/>
      <c r="O4" s="20"/>
    </row>
    <row r="5" customFormat="false" ht="35.05" hidden="false" customHeight="false" outlineLevel="0" collapsed="false">
      <c r="A5" s="20" t="s">
        <v>75</v>
      </c>
      <c r="B5" s="20" t="s">
        <v>65</v>
      </c>
      <c r="C5" s="20" t="s">
        <v>76</v>
      </c>
      <c r="D5" s="20" t="s">
        <v>77</v>
      </c>
      <c r="E5" s="20" t="s">
        <v>78</v>
      </c>
      <c r="F5" s="23" t="s">
        <v>10</v>
      </c>
      <c r="G5" s="20" t="str">
        <f aca="false">IFERROR(VLOOKUP(F5,Overview!$A$6:$B$10,2,FALSE()),"")</f>
        <v>Agent Engineer – Orchestration &amp; Selection (tech lead)</v>
      </c>
      <c r="H5" s="20" t="s">
        <v>79</v>
      </c>
      <c r="I5" s="20" t="s">
        <v>64</v>
      </c>
      <c r="J5" s="20" t="s">
        <v>62</v>
      </c>
      <c r="K5" s="20" t="s">
        <v>25</v>
      </c>
      <c r="L5" s="20" t="n">
        <v>4</v>
      </c>
      <c r="M5" s="20" t="s">
        <v>63</v>
      </c>
      <c r="N5" s="22"/>
      <c r="O5" s="20"/>
    </row>
    <row r="6" customFormat="false" ht="35.05" hidden="false" customHeight="false" outlineLevel="0" collapsed="false">
      <c r="A6" s="20" t="s">
        <v>80</v>
      </c>
      <c r="B6" s="20" t="s">
        <v>65</v>
      </c>
      <c r="C6" s="20" t="s">
        <v>81</v>
      </c>
      <c r="D6" s="20" t="s">
        <v>82</v>
      </c>
      <c r="E6" s="20" t="s">
        <v>83</v>
      </c>
      <c r="F6" s="23" t="s">
        <v>10</v>
      </c>
      <c r="G6" s="20" t="str">
        <f aca="false">IFERROR(VLOOKUP(F6,Overview!$A$6:$B$10,2,FALSE()),"")</f>
        <v>Agent Engineer – Orchestration &amp; Selection (tech lead)</v>
      </c>
      <c r="H6" s="20" t="s">
        <v>84</v>
      </c>
      <c r="I6" s="20" t="s">
        <v>85</v>
      </c>
      <c r="J6" s="20" t="s">
        <v>62</v>
      </c>
      <c r="K6" s="20" t="s">
        <v>27</v>
      </c>
      <c r="L6" s="20" t="n">
        <v>4</v>
      </c>
      <c r="M6" s="20" t="s">
        <v>63</v>
      </c>
      <c r="N6" s="22"/>
      <c r="O6" s="20"/>
    </row>
    <row r="7" customFormat="false" ht="23.85" hidden="false" customHeight="false" outlineLevel="0" collapsed="false">
      <c r="A7" s="20" t="s">
        <v>86</v>
      </c>
      <c r="B7" s="20" t="s">
        <v>65</v>
      </c>
      <c r="C7" s="20" t="s">
        <v>87</v>
      </c>
      <c r="D7" s="20" t="s">
        <v>88</v>
      </c>
      <c r="E7" s="20" t="s">
        <v>89</v>
      </c>
      <c r="F7" s="23" t="s">
        <v>10</v>
      </c>
      <c r="G7" s="20" t="str">
        <f aca="false">IFERROR(VLOOKUP(F7,Overview!$A$6:$B$10,2,FALSE()),"")</f>
        <v>Agent Engineer – Orchestration &amp; Selection (tech lead)</v>
      </c>
      <c r="H7" s="20" t="s">
        <v>90</v>
      </c>
      <c r="I7" s="20" t="s">
        <v>70</v>
      </c>
      <c r="J7" s="20" t="s">
        <v>91</v>
      </c>
      <c r="K7" s="20" t="s">
        <v>27</v>
      </c>
      <c r="L7" s="20" t="n">
        <v>2</v>
      </c>
      <c r="M7" s="20" t="s">
        <v>63</v>
      </c>
      <c r="N7" s="22"/>
      <c r="O7" s="20"/>
    </row>
    <row r="8" customFormat="false" ht="35.05" hidden="false" customHeight="false" outlineLevel="0" collapsed="false">
      <c r="A8" s="20" t="s">
        <v>92</v>
      </c>
      <c r="B8" s="20" t="s">
        <v>65</v>
      </c>
      <c r="C8" s="20" t="s">
        <v>93</v>
      </c>
      <c r="D8" s="20" t="s">
        <v>94</v>
      </c>
      <c r="E8" s="20" t="s">
        <v>95</v>
      </c>
      <c r="F8" s="23" t="s">
        <v>10</v>
      </c>
      <c r="G8" s="20" t="str">
        <f aca="false">IFERROR(VLOOKUP(F8,Overview!$A$6:$B$10,2,FALSE()),"")</f>
        <v>Agent Engineer – Orchestration &amp; Selection (tech lead)</v>
      </c>
      <c r="H8" s="20" t="s">
        <v>96</v>
      </c>
      <c r="I8" s="20" t="s">
        <v>56</v>
      </c>
      <c r="J8" s="20" t="s">
        <v>97</v>
      </c>
      <c r="K8" s="20" t="s">
        <v>27</v>
      </c>
      <c r="L8" s="20" t="n">
        <v>3</v>
      </c>
      <c r="M8" s="20" t="s">
        <v>63</v>
      </c>
      <c r="N8" s="22"/>
      <c r="O8" s="20"/>
    </row>
    <row r="9" customFormat="false" ht="23.85" hidden="false" customHeight="false" outlineLevel="0" collapsed="false">
      <c r="A9" s="20" t="s">
        <v>98</v>
      </c>
      <c r="B9" s="20" t="s">
        <v>65</v>
      </c>
      <c r="C9" s="20" t="s">
        <v>99</v>
      </c>
      <c r="D9" s="20" t="s">
        <v>100</v>
      </c>
      <c r="E9" s="20" t="s">
        <v>60</v>
      </c>
      <c r="F9" s="23" t="s">
        <v>10</v>
      </c>
      <c r="G9" s="20" t="str">
        <f aca="false">IFERROR(VLOOKUP(F9,Overview!$A$6:$B$10,2,FALSE()),"")</f>
        <v>Agent Engineer – Orchestration &amp; Selection (tech lead)</v>
      </c>
      <c r="H9" s="20" t="s">
        <v>60</v>
      </c>
      <c r="I9" s="20" t="s">
        <v>101</v>
      </c>
      <c r="J9" s="20" t="s">
        <v>62</v>
      </c>
      <c r="K9" s="20" t="s">
        <v>29</v>
      </c>
      <c r="L9" s="20" t="n">
        <v>3</v>
      </c>
      <c r="M9" s="20" t="s">
        <v>63</v>
      </c>
      <c r="N9" s="22"/>
      <c r="O9" s="20"/>
    </row>
    <row r="10" customFormat="false" ht="23.85" hidden="false" customHeight="false" outlineLevel="0" collapsed="false">
      <c r="A10" s="20" t="s">
        <v>102</v>
      </c>
      <c r="B10" s="20" t="s">
        <v>103</v>
      </c>
      <c r="C10" s="20" t="s">
        <v>104</v>
      </c>
      <c r="D10" s="20" t="s">
        <v>105</v>
      </c>
      <c r="E10" s="20" t="s">
        <v>106</v>
      </c>
      <c r="F10" s="24" t="s">
        <v>12</v>
      </c>
      <c r="G10" s="20" t="str">
        <f aca="false">IFERROR(VLOOKUP(F10,Overview!$A$6:$B$10,2,FALSE()),"")</f>
        <v>Agent Engineer – Specialist Agents &amp; Prompts</v>
      </c>
      <c r="H10" s="20" t="s">
        <v>107</v>
      </c>
      <c r="I10" s="20" t="s">
        <v>56</v>
      </c>
      <c r="J10" s="20" t="s">
        <v>62</v>
      </c>
      <c r="K10" s="20" t="s">
        <v>23</v>
      </c>
      <c r="L10" s="20" t="n">
        <v>2</v>
      </c>
      <c r="M10" s="20" t="s">
        <v>63</v>
      </c>
      <c r="N10" s="22"/>
      <c r="O10" s="20"/>
    </row>
    <row r="11" customFormat="false" ht="23.85" hidden="false" customHeight="false" outlineLevel="0" collapsed="false">
      <c r="A11" s="20" t="s">
        <v>108</v>
      </c>
      <c r="B11" s="20" t="s">
        <v>103</v>
      </c>
      <c r="C11" s="20" t="s">
        <v>109</v>
      </c>
      <c r="D11" s="20" t="s">
        <v>110</v>
      </c>
      <c r="E11" s="20" t="s">
        <v>111</v>
      </c>
      <c r="F11" s="24" t="s">
        <v>12</v>
      </c>
      <c r="G11" s="20" t="str">
        <f aca="false">IFERROR(VLOOKUP(F11,Overview!$A$6:$B$10,2,FALSE()),"")</f>
        <v>Agent Engineer – Specialist Agents &amp; Prompts</v>
      </c>
      <c r="H11" s="20" t="s">
        <v>112</v>
      </c>
      <c r="I11" s="20" t="s">
        <v>56</v>
      </c>
      <c r="J11" s="20" t="s">
        <v>62</v>
      </c>
      <c r="K11" s="20" t="s">
        <v>23</v>
      </c>
      <c r="L11" s="20" t="n">
        <v>1.5</v>
      </c>
      <c r="M11" s="20" t="s">
        <v>63</v>
      </c>
      <c r="N11" s="22"/>
      <c r="O11" s="20"/>
    </row>
    <row r="12" customFormat="false" ht="23.85" hidden="false" customHeight="false" outlineLevel="0" collapsed="false">
      <c r="A12" s="20" t="s">
        <v>113</v>
      </c>
      <c r="B12" s="20" t="s">
        <v>103</v>
      </c>
      <c r="C12" s="20" t="s">
        <v>114</v>
      </c>
      <c r="D12" s="20" t="s">
        <v>115</v>
      </c>
      <c r="E12" s="20" t="s">
        <v>116</v>
      </c>
      <c r="F12" s="24" t="s">
        <v>12</v>
      </c>
      <c r="G12" s="20" t="str">
        <f aca="false">IFERROR(VLOOKUP(F12,Overview!$A$6:$B$10,2,FALSE()),"")</f>
        <v>Agent Engineer – Specialist Agents &amp; Prompts</v>
      </c>
      <c r="H12" s="20" t="s">
        <v>117</v>
      </c>
      <c r="I12" s="20" t="s">
        <v>56</v>
      </c>
      <c r="J12" s="20" t="s">
        <v>62</v>
      </c>
      <c r="K12" s="20" t="s">
        <v>25</v>
      </c>
      <c r="L12" s="20" t="n">
        <v>1.5</v>
      </c>
      <c r="M12" s="20" t="s">
        <v>63</v>
      </c>
      <c r="N12" s="22"/>
      <c r="O12" s="20"/>
    </row>
    <row r="13" customFormat="false" ht="23.85" hidden="false" customHeight="false" outlineLevel="0" collapsed="false">
      <c r="A13" s="20" t="s">
        <v>118</v>
      </c>
      <c r="B13" s="20" t="s">
        <v>103</v>
      </c>
      <c r="C13" s="20" t="s">
        <v>119</v>
      </c>
      <c r="D13" s="20" t="s">
        <v>120</v>
      </c>
      <c r="E13" s="20" t="s">
        <v>121</v>
      </c>
      <c r="F13" s="24" t="s">
        <v>12</v>
      </c>
      <c r="G13" s="20" t="str">
        <f aca="false">IFERROR(VLOOKUP(F13,Overview!$A$6:$B$10,2,FALSE()),"")</f>
        <v>Agent Engineer – Specialist Agents &amp; Prompts</v>
      </c>
      <c r="H13" s="20" t="s">
        <v>117</v>
      </c>
      <c r="I13" s="20" t="s">
        <v>56</v>
      </c>
      <c r="J13" s="20" t="s">
        <v>62</v>
      </c>
      <c r="K13" s="20" t="s">
        <v>25</v>
      </c>
      <c r="L13" s="20" t="n">
        <v>2</v>
      </c>
      <c r="M13" s="20" t="s">
        <v>63</v>
      </c>
      <c r="N13" s="22"/>
      <c r="O13" s="20"/>
    </row>
    <row r="14" customFormat="false" ht="23.85" hidden="false" customHeight="false" outlineLevel="0" collapsed="false">
      <c r="A14" s="20" t="s">
        <v>85</v>
      </c>
      <c r="B14" s="20" t="s">
        <v>103</v>
      </c>
      <c r="C14" s="20" t="s">
        <v>122</v>
      </c>
      <c r="D14" s="20" t="s">
        <v>123</v>
      </c>
      <c r="E14" s="20" t="s">
        <v>60</v>
      </c>
      <c r="F14" s="24" t="s">
        <v>12</v>
      </c>
      <c r="G14" s="20" t="str">
        <f aca="false">IFERROR(VLOOKUP(F14,Overview!$A$6:$B$10,2,FALSE()),"")</f>
        <v>Agent Engineer – Specialist Agents &amp; Prompts</v>
      </c>
      <c r="H14" s="20" t="s">
        <v>124</v>
      </c>
      <c r="I14" s="20" t="s">
        <v>125</v>
      </c>
      <c r="J14" s="20" t="s">
        <v>62</v>
      </c>
      <c r="K14" s="20" t="s">
        <v>25</v>
      </c>
      <c r="L14" s="20" t="n">
        <v>2</v>
      </c>
      <c r="M14" s="20" t="s">
        <v>63</v>
      </c>
      <c r="N14" s="22"/>
      <c r="O14" s="20"/>
    </row>
    <row r="15" customFormat="false" ht="23.85" hidden="false" customHeight="false" outlineLevel="0" collapsed="false">
      <c r="A15" s="20" t="s">
        <v>126</v>
      </c>
      <c r="B15" s="20" t="s">
        <v>103</v>
      </c>
      <c r="C15" s="20" t="s">
        <v>127</v>
      </c>
      <c r="D15" s="20" t="s">
        <v>128</v>
      </c>
      <c r="E15" s="20" t="s">
        <v>129</v>
      </c>
      <c r="F15" s="24" t="s">
        <v>12</v>
      </c>
      <c r="G15" s="20" t="str">
        <f aca="false">IFERROR(VLOOKUP(F15,Overview!$A$6:$B$10,2,FALSE()),"")</f>
        <v>Agent Engineer – Specialist Agents &amp; Prompts</v>
      </c>
      <c r="H15" s="20" t="s">
        <v>117</v>
      </c>
      <c r="I15" s="20" t="s">
        <v>56</v>
      </c>
      <c r="J15" s="20" t="s">
        <v>91</v>
      </c>
      <c r="K15" s="20" t="s">
        <v>25</v>
      </c>
      <c r="L15" s="20" t="n">
        <v>1.5</v>
      </c>
      <c r="M15" s="20" t="s">
        <v>63</v>
      </c>
      <c r="N15" s="22"/>
      <c r="O15" s="20"/>
    </row>
    <row r="16" customFormat="false" ht="23.85" hidden="false" customHeight="false" outlineLevel="0" collapsed="false">
      <c r="A16" s="20" t="s">
        <v>130</v>
      </c>
      <c r="B16" s="20" t="s">
        <v>103</v>
      </c>
      <c r="C16" s="20" t="s">
        <v>131</v>
      </c>
      <c r="D16" s="20" t="s">
        <v>132</v>
      </c>
      <c r="E16" s="20" t="s">
        <v>133</v>
      </c>
      <c r="F16" s="24" t="s">
        <v>12</v>
      </c>
      <c r="G16" s="20" t="str">
        <f aca="false">IFERROR(VLOOKUP(F16,Overview!$A$6:$B$10,2,FALSE()),"")</f>
        <v>Agent Engineer – Specialist Agents &amp; Prompts</v>
      </c>
      <c r="H16" s="20" t="s">
        <v>117</v>
      </c>
      <c r="I16" s="20" t="s">
        <v>56</v>
      </c>
      <c r="J16" s="20" t="s">
        <v>91</v>
      </c>
      <c r="K16" s="20" t="s">
        <v>27</v>
      </c>
      <c r="L16" s="20" t="n">
        <v>1.5</v>
      </c>
      <c r="M16" s="20" t="s">
        <v>63</v>
      </c>
      <c r="N16" s="22"/>
      <c r="O16" s="20"/>
    </row>
    <row r="17" customFormat="false" ht="23.85" hidden="false" customHeight="false" outlineLevel="0" collapsed="false">
      <c r="A17" s="20" t="s">
        <v>134</v>
      </c>
      <c r="B17" s="20" t="s">
        <v>103</v>
      </c>
      <c r="C17" s="20" t="s">
        <v>135</v>
      </c>
      <c r="D17" s="20" t="s">
        <v>136</v>
      </c>
      <c r="E17" s="20" t="s">
        <v>137</v>
      </c>
      <c r="F17" s="24" t="s">
        <v>12</v>
      </c>
      <c r="G17" s="20" t="str">
        <f aca="false">IFERROR(VLOOKUP(F17,Overview!$A$6:$B$10,2,FALSE()),"")</f>
        <v>Agent Engineer – Specialist Agents &amp; Prompts</v>
      </c>
      <c r="H17" s="20" t="s">
        <v>117</v>
      </c>
      <c r="I17" s="20" t="s">
        <v>56</v>
      </c>
      <c r="J17" s="20" t="s">
        <v>91</v>
      </c>
      <c r="K17" s="20" t="s">
        <v>27</v>
      </c>
      <c r="L17" s="20" t="n">
        <v>2</v>
      </c>
      <c r="M17" s="20" t="s">
        <v>63</v>
      </c>
      <c r="N17" s="22"/>
      <c r="O17" s="20"/>
    </row>
    <row r="18" customFormat="false" ht="35.05" hidden="false" customHeight="false" outlineLevel="0" collapsed="false">
      <c r="A18" s="20" t="s">
        <v>138</v>
      </c>
      <c r="B18" s="20" t="s">
        <v>103</v>
      </c>
      <c r="C18" s="20" t="s">
        <v>139</v>
      </c>
      <c r="D18" s="20" t="s">
        <v>140</v>
      </c>
      <c r="E18" s="20" t="s">
        <v>141</v>
      </c>
      <c r="F18" s="24" t="s">
        <v>12</v>
      </c>
      <c r="G18" s="20" t="str">
        <f aca="false">IFERROR(VLOOKUP(F18,Overview!$A$6:$B$10,2,FALSE()),"")</f>
        <v>Agent Engineer – Specialist Agents &amp; Prompts</v>
      </c>
      <c r="H18" s="20" t="s">
        <v>117</v>
      </c>
      <c r="I18" s="20" t="s">
        <v>142</v>
      </c>
      <c r="J18" s="20" t="s">
        <v>62</v>
      </c>
      <c r="K18" s="20" t="s">
        <v>27</v>
      </c>
      <c r="L18" s="20" t="n">
        <v>4</v>
      </c>
      <c r="M18" s="20" t="s">
        <v>63</v>
      </c>
      <c r="N18" s="22"/>
      <c r="O18" s="20"/>
    </row>
    <row r="19" customFormat="false" ht="23.85" hidden="false" customHeight="false" outlineLevel="0" collapsed="false">
      <c r="A19" s="20" t="s">
        <v>143</v>
      </c>
      <c r="B19" s="20" t="s">
        <v>103</v>
      </c>
      <c r="C19" s="20" t="s">
        <v>144</v>
      </c>
      <c r="D19" s="20" t="s">
        <v>145</v>
      </c>
      <c r="E19" s="20" t="s">
        <v>146</v>
      </c>
      <c r="F19" s="24" t="s">
        <v>12</v>
      </c>
      <c r="G19" s="20" t="str">
        <f aca="false">IFERROR(VLOOKUP(F19,Overview!$A$6:$B$10,2,FALSE()),"")</f>
        <v>Agent Engineer – Specialist Agents &amp; Prompts</v>
      </c>
      <c r="H19" s="20" t="s">
        <v>117</v>
      </c>
      <c r="I19" s="20" t="s">
        <v>138</v>
      </c>
      <c r="J19" s="20" t="s">
        <v>91</v>
      </c>
      <c r="K19" s="20" t="s">
        <v>29</v>
      </c>
      <c r="L19" s="20" t="n">
        <v>2</v>
      </c>
      <c r="M19" s="20" t="s">
        <v>63</v>
      </c>
      <c r="N19" s="22"/>
      <c r="O19" s="20"/>
    </row>
    <row r="20" customFormat="false" ht="23.85" hidden="false" customHeight="false" outlineLevel="0" collapsed="false">
      <c r="A20" s="20" t="s">
        <v>147</v>
      </c>
      <c r="B20" s="20" t="s">
        <v>103</v>
      </c>
      <c r="C20" s="20" t="s">
        <v>148</v>
      </c>
      <c r="D20" s="20" t="s">
        <v>149</v>
      </c>
      <c r="E20" s="20" t="s">
        <v>60</v>
      </c>
      <c r="F20" s="24" t="s">
        <v>12</v>
      </c>
      <c r="G20" s="20" t="str">
        <f aca="false">IFERROR(VLOOKUP(F20,Overview!$A$6:$B$10,2,FALSE()),"")</f>
        <v>Agent Engineer – Specialist Agents &amp; Prompts</v>
      </c>
      <c r="H20" s="20" t="s">
        <v>60</v>
      </c>
      <c r="I20" s="20" t="s">
        <v>150</v>
      </c>
      <c r="J20" s="20" t="s">
        <v>62</v>
      </c>
      <c r="K20" s="20" t="s">
        <v>29</v>
      </c>
      <c r="L20" s="20" t="n">
        <v>3</v>
      </c>
      <c r="M20" s="20" t="s">
        <v>63</v>
      </c>
      <c r="N20" s="22"/>
      <c r="O20" s="20"/>
    </row>
    <row r="21" customFormat="false" ht="23.85" hidden="false" customHeight="false" outlineLevel="0" collapsed="false">
      <c r="A21" s="20" t="s">
        <v>151</v>
      </c>
      <c r="B21" s="20" t="s">
        <v>152</v>
      </c>
      <c r="C21" s="20" t="s">
        <v>153</v>
      </c>
      <c r="D21" s="20" t="s">
        <v>154</v>
      </c>
      <c r="E21" s="20" t="s">
        <v>155</v>
      </c>
      <c r="F21" s="25" t="s">
        <v>14</v>
      </c>
      <c r="G21" s="20" t="str">
        <f aca="false">IFERROR(VLOOKUP(F21,Overview!$A$6:$B$10,2,FALSE()),"")</f>
        <v>Backend Dev – Reviewer, Scoring, Report &amp; Audit</v>
      </c>
      <c r="H21" s="20" t="s">
        <v>156</v>
      </c>
      <c r="I21" s="20" t="s">
        <v>70</v>
      </c>
      <c r="J21" s="20" t="s">
        <v>62</v>
      </c>
      <c r="K21" s="20" t="s">
        <v>25</v>
      </c>
      <c r="L21" s="20" t="n">
        <v>3</v>
      </c>
      <c r="M21" s="20" t="s">
        <v>63</v>
      </c>
      <c r="N21" s="22"/>
      <c r="O21" s="20"/>
    </row>
    <row r="22" customFormat="false" ht="23.85" hidden="false" customHeight="false" outlineLevel="0" collapsed="false">
      <c r="A22" s="20" t="s">
        <v>157</v>
      </c>
      <c r="B22" s="20" t="s">
        <v>152</v>
      </c>
      <c r="C22" s="20" t="s">
        <v>158</v>
      </c>
      <c r="D22" s="20" t="s">
        <v>159</v>
      </c>
      <c r="E22" s="20" t="s">
        <v>160</v>
      </c>
      <c r="F22" s="25" t="s">
        <v>14</v>
      </c>
      <c r="G22" s="20" t="str">
        <f aca="false">IFERROR(VLOOKUP(F22,Overview!$A$6:$B$10,2,FALSE()),"")</f>
        <v>Backend Dev – Reviewer, Scoring, Report &amp; Audit</v>
      </c>
      <c r="H22" s="20" t="s">
        <v>161</v>
      </c>
      <c r="I22" s="20" t="s">
        <v>70</v>
      </c>
      <c r="J22" s="20" t="s">
        <v>62</v>
      </c>
      <c r="K22" s="20" t="s">
        <v>25</v>
      </c>
      <c r="L22" s="20" t="n">
        <v>3</v>
      </c>
      <c r="M22" s="20" t="s">
        <v>63</v>
      </c>
      <c r="N22" s="22"/>
      <c r="O22" s="20"/>
    </row>
    <row r="23" customFormat="false" ht="23.85" hidden="false" customHeight="false" outlineLevel="0" collapsed="false">
      <c r="A23" s="20" t="s">
        <v>162</v>
      </c>
      <c r="B23" s="20" t="s">
        <v>152</v>
      </c>
      <c r="C23" s="20" t="s">
        <v>163</v>
      </c>
      <c r="D23" s="20" t="s">
        <v>164</v>
      </c>
      <c r="E23" s="20" t="s">
        <v>165</v>
      </c>
      <c r="F23" s="25" t="s">
        <v>14</v>
      </c>
      <c r="G23" s="20" t="str">
        <f aca="false">IFERROR(VLOOKUP(F23,Overview!$A$6:$B$10,2,FALSE()),"")</f>
        <v>Backend Dev – Reviewer, Scoring, Report &amp; Audit</v>
      </c>
      <c r="H23" s="20" t="s">
        <v>166</v>
      </c>
      <c r="I23" s="20" t="s">
        <v>56</v>
      </c>
      <c r="J23" s="20" t="s">
        <v>62</v>
      </c>
      <c r="K23" s="20" t="s">
        <v>25</v>
      </c>
      <c r="L23" s="20" t="n">
        <v>3</v>
      </c>
      <c r="M23" s="20" t="s">
        <v>63</v>
      </c>
      <c r="N23" s="22"/>
      <c r="O23" s="20"/>
    </row>
    <row r="24" customFormat="false" ht="23.85" hidden="false" customHeight="false" outlineLevel="0" collapsed="false">
      <c r="A24" s="20" t="s">
        <v>167</v>
      </c>
      <c r="B24" s="20" t="s">
        <v>152</v>
      </c>
      <c r="C24" s="20" t="s">
        <v>168</v>
      </c>
      <c r="D24" s="20" t="s">
        <v>169</v>
      </c>
      <c r="E24" s="20" t="s">
        <v>170</v>
      </c>
      <c r="F24" s="25" t="s">
        <v>14</v>
      </c>
      <c r="G24" s="20" t="str">
        <f aca="false">IFERROR(VLOOKUP(F24,Overview!$A$6:$B$10,2,FALSE()),"")</f>
        <v>Backend Dev – Reviewer, Scoring, Report &amp; Audit</v>
      </c>
      <c r="H24" s="20" t="s">
        <v>171</v>
      </c>
      <c r="I24" s="20" t="s">
        <v>157</v>
      </c>
      <c r="J24" s="20" t="s">
        <v>62</v>
      </c>
      <c r="K24" s="20" t="s">
        <v>27</v>
      </c>
      <c r="L24" s="20" t="n">
        <v>2</v>
      </c>
      <c r="M24" s="20" t="s">
        <v>63</v>
      </c>
      <c r="N24" s="22"/>
      <c r="O24" s="20"/>
    </row>
    <row r="25" customFormat="false" ht="23.85" hidden="false" customHeight="false" outlineLevel="0" collapsed="false">
      <c r="A25" s="20" t="s">
        <v>172</v>
      </c>
      <c r="B25" s="20" t="s">
        <v>152</v>
      </c>
      <c r="C25" s="20" t="s">
        <v>173</v>
      </c>
      <c r="D25" s="20" t="s">
        <v>174</v>
      </c>
      <c r="E25" s="20" t="s">
        <v>175</v>
      </c>
      <c r="F25" s="25" t="s">
        <v>14</v>
      </c>
      <c r="G25" s="20" t="str">
        <f aca="false">IFERROR(VLOOKUP(F25,Overview!$A$6:$B$10,2,FALSE()),"")</f>
        <v>Backend Dev – Reviewer, Scoring, Report &amp; Audit</v>
      </c>
      <c r="H25" s="20" t="s">
        <v>176</v>
      </c>
      <c r="I25" s="20" t="s">
        <v>151</v>
      </c>
      <c r="J25" s="20" t="s">
        <v>62</v>
      </c>
      <c r="K25" s="20" t="s">
        <v>27</v>
      </c>
      <c r="L25" s="20" t="n">
        <v>4</v>
      </c>
      <c r="M25" s="20" t="s">
        <v>63</v>
      </c>
      <c r="N25" s="22"/>
      <c r="O25" s="20"/>
    </row>
    <row r="26" customFormat="false" ht="23.85" hidden="false" customHeight="false" outlineLevel="0" collapsed="false">
      <c r="A26" s="20" t="s">
        <v>177</v>
      </c>
      <c r="B26" s="20" t="s">
        <v>152</v>
      </c>
      <c r="C26" s="20" t="s">
        <v>178</v>
      </c>
      <c r="D26" s="20" t="s">
        <v>179</v>
      </c>
      <c r="E26" s="20" t="s">
        <v>180</v>
      </c>
      <c r="F26" s="25" t="s">
        <v>14</v>
      </c>
      <c r="G26" s="20" t="str">
        <f aca="false">IFERROR(VLOOKUP(F26,Overview!$A$6:$B$10,2,FALSE()),"")</f>
        <v>Backend Dev – Reviewer, Scoring, Report &amp; Audit</v>
      </c>
      <c r="H26" s="20" t="s">
        <v>181</v>
      </c>
      <c r="I26" s="20" t="s">
        <v>172</v>
      </c>
      <c r="J26" s="20" t="s">
        <v>91</v>
      </c>
      <c r="K26" s="20" t="s">
        <v>27</v>
      </c>
      <c r="L26" s="20" t="n">
        <v>4</v>
      </c>
      <c r="M26" s="20" t="s">
        <v>63</v>
      </c>
      <c r="N26" s="22"/>
      <c r="O26" s="20"/>
    </row>
    <row r="27" customFormat="false" ht="23.85" hidden="false" customHeight="false" outlineLevel="0" collapsed="false">
      <c r="A27" s="20" t="s">
        <v>182</v>
      </c>
      <c r="B27" s="20" t="s">
        <v>152</v>
      </c>
      <c r="C27" s="20" t="s">
        <v>148</v>
      </c>
      <c r="D27" s="20" t="s">
        <v>183</v>
      </c>
      <c r="E27" s="20" t="s">
        <v>60</v>
      </c>
      <c r="F27" s="25" t="s">
        <v>14</v>
      </c>
      <c r="G27" s="20" t="str">
        <f aca="false">IFERROR(VLOOKUP(F27,Overview!$A$6:$B$10,2,FALSE()),"")</f>
        <v>Backend Dev – Reviewer, Scoring, Report &amp; Audit</v>
      </c>
      <c r="H27" s="20" t="s">
        <v>60</v>
      </c>
      <c r="I27" s="20" t="s">
        <v>150</v>
      </c>
      <c r="J27" s="20" t="s">
        <v>62</v>
      </c>
      <c r="K27" s="20" t="s">
        <v>29</v>
      </c>
      <c r="L27" s="20" t="n">
        <v>3</v>
      </c>
      <c r="M27" s="20" t="s">
        <v>63</v>
      </c>
      <c r="N27" s="22"/>
      <c r="O27" s="20"/>
    </row>
    <row r="28" customFormat="false" ht="23.85" hidden="false" customHeight="false" outlineLevel="0" collapsed="false">
      <c r="A28" s="20" t="s">
        <v>184</v>
      </c>
      <c r="B28" s="20" t="s">
        <v>185</v>
      </c>
      <c r="C28" s="20" t="s">
        <v>186</v>
      </c>
      <c r="D28" s="20" t="s">
        <v>187</v>
      </c>
      <c r="E28" s="20" t="s">
        <v>188</v>
      </c>
      <c r="F28" s="26" t="s">
        <v>16</v>
      </c>
      <c r="G28" s="20" t="str">
        <f aca="false">IFERROR(VLOOKUP(F28,Overview!$A$6:$B$10,2,FALSE()),"")</f>
        <v>QA / Test &amp; Demo Engineer</v>
      </c>
      <c r="H28" s="20" t="s">
        <v>189</v>
      </c>
      <c r="I28" s="20" t="s">
        <v>56</v>
      </c>
      <c r="J28" s="20" t="s">
        <v>62</v>
      </c>
      <c r="K28" s="20" t="s">
        <v>23</v>
      </c>
      <c r="L28" s="20" t="n">
        <v>2</v>
      </c>
      <c r="M28" s="20" t="s">
        <v>63</v>
      </c>
      <c r="N28" s="22"/>
      <c r="O28" s="20"/>
    </row>
    <row r="29" customFormat="false" ht="23.85" hidden="false" customHeight="false" outlineLevel="0" collapsed="false">
      <c r="A29" s="20" t="s">
        <v>150</v>
      </c>
      <c r="B29" s="20" t="s">
        <v>185</v>
      </c>
      <c r="C29" s="20" t="s">
        <v>190</v>
      </c>
      <c r="D29" s="20" t="s">
        <v>191</v>
      </c>
      <c r="E29" s="20" t="s">
        <v>192</v>
      </c>
      <c r="F29" s="26" t="s">
        <v>16</v>
      </c>
      <c r="G29" s="20" t="str">
        <f aca="false">IFERROR(VLOOKUP(F29,Overview!$A$6:$B$10,2,FALSE()),"")</f>
        <v>QA / Test &amp; Demo Engineer</v>
      </c>
      <c r="H29" s="20" t="s">
        <v>193</v>
      </c>
      <c r="I29" s="20" t="s">
        <v>56</v>
      </c>
      <c r="J29" s="20" t="s">
        <v>62</v>
      </c>
      <c r="K29" s="20" t="s">
        <v>23</v>
      </c>
      <c r="L29" s="20" t="n">
        <v>3</v>
      </c>
      <c r="M29" s="20" t="s">
        <v>63</v>
      </c>
      <c r="N29" s="22"/>
      <c r="O29" s="20"/>
    </row>
    <row r="30" customFormat="false" ht="23.85" hidden="false" customHeight="false" outlineLevel="0" collapsed="false">
      <c r="A30" s="20" t="s">
        <v>194</v>
      </c>
      <c r="B30" s="20" t="s">
        <v>185</v>
      </c>
      <c r="C30" s="20" t="s">
        <v>195</v>
      </c>
      <c r="D30" s="20" t="s">
        <v>196</v>
      </c>
      <c r="E30" s="20" t="s">
        <v>197</v>
      </c>
      <c r="F30" s="26" t="s">
        <v>16</v>
      </c>
      <c r="G30" s="20" t="str">
        <f aca="false">IFERROR(VLOOKUP(F30,Overview!$A$6:$B$10,2,FALSE()),"")</f>
        <v>QA / Test &amp; Demo Engineer</v>
      </c>
      <c r="H30" s="20" t="s">
        <v>198</v>
      </c>
      <c r="I30" s="20" t="s">
        <v>150</v>
      </c>
      <c r="J30" s="20" t="s">
        <v>62</v>
      </c>
      <c r="K30" s="20" t="s">
        <v>25</v>
      </c>
      <c r="L30" s="20" t="n">
        <v>1.5</v>
      </c>
      <c r="M30" s="20" t="s">
        <v>63</v>
      </c>
      <c r="N30" s="22"/>
      <c r="O30" s="20"/>
    </row>
    <row r="31" customFormat="false" ht="23.85" hidden="false" customHeight="false" outlineLevel="0" collapsed="false">
      <c r="A31" s="20" t="s">
        <v>199</v>
      </c>
      <c r="B31" s="20" t="s">
        <v>185</v>
      </c>
      <c r="C31" s="20" t="s">
        <v>200</v>
      </c>
      <c r="D31" s="20" t="s">
        <v>201</v>
      </c>
      <c r="E31" s="20" t="s">
        <v>202</v>
      </c>
      <c r="F31" s="26" t="s">
        <v>16</v>
      </c>
      <c r="G31" s="20" t="str">
        <f aca="false">IFERROR(VLOOKUP(F31,Overview!$A$6:$B$10,2,FALSE()),"")</f>
        <v>QA / Test &amp; Demo Engineer</v>
      </c>
      <c r="H31" s="20" t="s">
        <v>203</v>
      </c>
      <c r="I31" s="20" t="s">
        <v>70</v>
      </c>
      <c r="J31" s="20" t="s">
        <v>62</v>
      </c>
      <c r="K31" s="20" t="s">
        <v>25</v>
      </c>
      <c r="L31" s="20" t="n">
        <v>2</v>
      </c>
      <c r="M31" s="20" t="s">
        <v>63</v>
      </c>
      <c r="N31" s="22"/>
      <c r="O31" s="20"/>
    </row>
    <row r="32" customFormat="false" ht="23.85" hidden="false" customHeight="false" outlineLevel="0" collapsed="false">
      <c r="A32" s="20" t="s">
        <v>204</v>
      </c>
      <c r="B32" s="20" t="s">
        <v>185</v>
      </c>
      <c r="C32" s="20" t="s">
        <v>205</v>
      </c>
      <c r="D32" s="20" t="s">
        <v>206</v>
      </c>
      <c r="E32" s="20" t="s">
        <v>207</v>
      </c>
      <c r="F32" s="26" t="s">
        <v>16</v>
      </c>
      <c r="G32" s="20" t="str">
        <f aca="false">IFERROR(VLOOKUP(F32,Overview!$A$6:$B$10,2,FALSE()),"")</f>
        <v>QA / Test &amp; Demo Engineer</v>
      </c>
      <c r="H32" s="20" t="s">
        <v>208</v>
      </c>
      <c r="I32" s="20" t="s">
        <v>209</v>
      </c>
      <c r="J32" s="20" t="s">
        <v>62</v>
      </c>
      <c r="K32" s="20" t="s">
        <v>27</v>
      </c>
      <c r="L32" s="20" t="n">
        <v>3</v>
      </c>
      <c r="M32" s="20" t="s">
        <v>63</v>
      </c>
      <c r="N32" s="22"/>
      <c r="O32" s="20"/>
    </row>
    <row r="33" customFormat="false" ht="23.85" hidden="false" customHeight="false" outlineLevel="0" collapsed="false">
      <c r="A33" s="20" t="s">
        <v>210</v>
      </c>
      <c r="B33" s="20" t="s">
        <v>185</v>
      </c>
      <c r="C33" s="20" t="s">
        <v>211</v>
      </c>
      <c r="D33" s="20" t="s">
        <v>212</v>
      </c>
      <c r="E33" s="20" t="s">
        <v>213</v>
      </c>
      <c r="F33" s="26" t="s">
        <v>16</v>
      </c>
      <c r="G33" s="20" t="str">
        <f aca="false">IFERROR(VLOOKUP(F33,Overview!$A$6:$B$10,2,FALSE()),"")</f>
        <v>QA / Test &amp; Demo Engineer</v>
      </c>
      <c r="H33" s="20" t="s">
        <v>60</v>
      </c>
      <c r="I33" s="20" t="s">
        <v>214</v>
      </c>
      <c r="J33" s="20" t="s">
        <v>62</v>
      </c>
      <c r="K33" s="20" t="s">
        <v>27</v>
      </c>
      <c r="L33" s="20" t="n">
        <v>3</v>
      </c>
      <c r="M33" s="20" t="s">
        <v>63</v>
      </c>
      <c r="N33" s="22"/>
      <c r="O33" s="20"/>
    </row>
    <row r="34" customFormat="false" ht="23.85" hidden="false" customHeight="false" outlineLevel="0" collapsed="false">
      <c r="A34" s="20" t="s">
        <v>215</v>
      </c>
      <c r="B34" s="20" t="s">
        <v>185</v>
      </c>
      <c r="C34" s="20" t="s">
        <v>216</v>
      </c>
      <c r="D34" s="20" t="s">
        <v>217</v>
      </c>
      <c r="E34" s="20" t="s">
        <v>218</v>
      </c>
      <c r="F34" s="26" t="s">
        <v>16</v>
      </c>
      <c r="G34" s="20" t="str">
        <f aca="false">IFERROR(VLOOKUP(F34,Overview!$A$6:$B$10,2,FALSE()),"")</f>
        <v>QA / Test &amp; Demo Engineer</v>
      </c>
      <c r="H34" s="20" t="s">
        <v>60</v>
      </c>
      <c r="I34" s="20" t="s">
        <v>219</v>
      </c>
      <c r="J34" s="20" t="s">
        <v>91</v>
      </c>
      <c r="K34" s="20" t="s">
        <v>29</v>
      </c>
      <c r="L34" s="20" t="n">
        <v>2</v>
      </c>
      <c r="M34" s="20" t="s">
        <v>63</v>
      </c>
      <c r="N34" s="22"/>
      <c r="O34" s="20"/>
    </row>
    <row r="35" customFormat="false" ht="23.85" hidden="false" customHeight="false" outlineLevel="0" collapsed="false">
      <c r="A35" s="20" t="s">
        <v>220</v>
      </c>
      <c r="B35" s="20" t="s">
        <v>185</v>
      </c>
      <c r="C35" s="20" t="s">
        <v>221</v>
      </c>
      <c r="D35" s="20" t="s">
        <v>222</v>
      </c>
      <c r="E35" s="20" t="s">
        <v>60</v>
      </c>
      <c r="F35" s="26" t="s">
        <v>16</v>
      </c>
      <c r="G35" s="20" t="str">
        <f aca="false">IFERROR(VLOOKUP(F35,Overview!$A$6:$B$10,2,FALSE()),"")</f>
        <v>QA / Test &amp; Demo Engineer</v>
      </c>
      <c r="H35" s="20" t="s">
        <v>60</v>
      </c>
      <c r="I35" s="20" t="s">
        <v>98</v>
      </c>
      <c r="J35" s="20" t="s">
        <v>62</v>
      </c>
      <c r="K35" s="20" t="s">
        <v>29</v>
      </c>
      <c r="L35" s="20" t="n">
        <v>3</v>
      </c>
      <c r="M35" s="20" t="s">
        <v>63</v>
      </c>
      <c r="N35" s="22"/>
      <c r="O35" s="20"/>
    </row>
    <row r="36" customFormat="false" ht="23.85" hidden="false" customHeight="false" outlineLevel="0" collapsed="false">
      <c r="A36" s="20" t="s">
        <v>223</v>
      </c>
      <c r="B36" s="20" t="s">
        <v>57</v>
      </c>
      <c r="C36" s="20" t="s">
        <v>224</v>
      </c>
      <c r="D36" s="20" t="s">
        <v>225</v>
      </c>
      <c r="E36" s="20" t="s">
        <v>60</v>
      </c>
      <c r="F36" s="21" t="s">
        <v>18</v>
      </c>
      <c r="G36" s="20" t="str">
        <f aca="false">IFERROR(VLOOKUP(F36,Overview!$A$6:$B$10,2,FALSE()),"")</f>
        <v>Whole team (kick-off, demo)</v>
      </c>
      <c r="H36" s="20" t="s">
        <v>60</v>
      </c>
      <c r="I36" s="20" t="s">
        <v>220</v>
      </c>
      <c r="J36" s="20" t="s">
        <v>62</v>
      </c>
      <c r="K36" s="20" t="s">
        <v>29</v>
      </c>
      <c r="L36" s="20" t="n">
        <v>1.5</v>
      </c>
      <c r="M36" s="20" t="s">
        <v>63</v>
      </c>
      <c r="N36" s="22"/>
      <c r="O36" s="20"/>
    </row>
  </sheetData>
  <autoFilter ref="A1:O36"/>
  <conditionalFormatting sqref="M2:M36">
    <cfRule type="cellIs" priority="2" operator="equal" aboveAverage="0" equalAverage="0" bottom="0" percent="0" rank="0" text="" dxfId="10">
      <formula>"Done"</formula>
    </cfRule>
    <cfRule type="cellIs" priority="3" operator="equal" aboveAverage="0" equalAverage="0" bottom="0" percent="0" rank="0" text="" dxfId="11">
      <formula>"In progress"</formula>
    </cfRule>
    <cfRule type="cellIs" priority="4" operator="equal" aboveAverage="0" equalAverage="0" bottom="0" percent="0" rank="0" text="" dxfId="12">
      <formula>"Blocked"</formula>
    </cfRule>
    <cfRule type="cellIs" priority="5" operator="equal" aboveAverage="0" equalAverage="0" bottom="0" percent="0" rank="0" text="" dxfId="13">
      <formula>"In review"</formula>
    </cfRule>
  </conditionalFormatting>
  <conditionalFormatting sqref="J2:J36">
    <cfRule type="cellIs" priority="6" operator="equal" aboveAverage="0" equalAverage="0" bottom="0" percent="0" rank="0" text="" dxfId="14">
      <formula>"P0"</formula>
    </cfRule>
  </conditionalFormatting>
  <dataValidations count="3">
    <dataValidation allowBlank="false" errorStyle="stop" operator="between" showDropDown="false" showErrorMessage="false" showInputMessage="false" sqref="M2:M36" type="list">
      <formula1>"Not started,In progress,Blocked,In review,Done"</formula1>
      <formula2>0</formula2>
    </dataValidation>
    <dataValidation allowBlank="false" errorStyle="stop" operator="between" showDropDown="false" showErrorMessage="false" showInputMessage="false" sqref="F2:F36" type="list">
      <formula1>"R1,R2,R3,R4,All"</formula1>
      <formula2>0</formula2>
    </dataValidation>
    <dataValidation allowBlank="false" errorStyle="stop" operator="between" showDropDown="false" showErrorMessage="false" showInputMessage="false" sqref="K2:K36" type="list">
      <formula1>"Tue,Wed,Thu,Fri"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5" min="2" style="0" width="42"/>
  </cols>
  <sheetData>
    <row r="1" customFormat="false" ht="15" hidden="false" customHeight="false" outlineLevel="0" collapsed="false">
      <c r="A1" s="4" t="s">
        <v>3</v>
      </c>
      <c r="B1" s="4" t="s">
        <v>226</v>
      </c>
      <c r="C1" s="4" t="s">
        <v>227</v>
      </c>
      <c r="D1" s="4" t="s">
        <v>228</v>
      </c>
      <c r="E1" s="4" t="s">
        <v>229</v>
      </c>
    </row>
    <row r="2" customFormat="false" ht="109.5" hidden="false" customHeight="true" outlineLevel="0" collapsed="false">
      <c r="A2" s="23" t="s">
        <v>230</v>
      </c>
      <c r="B2" s="20" t="s">
        <v>231</v>
      </c>
      <c r="C2" s="20" t="s">
        <v>232</v>
      </c>
      <c r="D2" s="20" t="s">
        <v>233</v>
      </c>
      <c r="E2" s="20" t="s">
        <v>234</v>
      </c>
    </row>
    <row r="3" customFormat="false" ht="109.5" hidden="false" customHeight="true" outlineLevel="0" collapsed="false">
      <c r="A3" s="24" t="s">
        <v>235</v>
      </c>
      <c r="B3" s="20" t="s">
        <v>236</v>
      </c>
      <c r="C3" s="20" t="s">
        <v>237</v>
      </c>
      <c r="D3" s="20" t="s">
        <v>238</v>
      </c>
      <c r="E3" s="20" t="s">
        <v>239</v>
      </c>
    </row>
    <row r="4" customFormat="false" ht="109.5" hidden="false" customHeight="true" outlineLevel="0" collapsed="false">
      <c r="A4" s="25" t="s">
        <v>240</v>
      </c>
      <c r="B4" s="20" t="s">
        <v>241</v>
      </c>
      <c r="C4" s="20" t="s">
        <v>242</v>
      </c>
      <c r="D4" s="20" t="s">
        <v>243</v>
      </c>
      <c r="E4" s="20" t="s">
        <v>244</v>
      </c>
    </row>
    <row r="5" customFormat="false" ht="109.5" hidden="false" customHeight="true" outlineLevel="0" collapsed="false">
      <c r="A5" s="26" t="s">
        <v>245</v>
      </c>
      <c r="B5" s="20" t="s">
        <v>246</v>
      </c>
      <c r="C5" s="20" t="s">
        <v>247</v>
      </c>
      <c r="D5" s="20" t="s">
        <v>248</v>
      </c>
      <c r="E5" s="20" t="s">
        <v>249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44"/>
    <col collapsed="false" customWidth="true" hidden="false" outlineLevel="0" max="3" min="3" style="0" width="30"/>
  </cols>
  <sheetData>
    <row r="1" customFormat="false" ht="15" hidden="false" customHeight="false" outlineLevel="0" collapsed="false">
      <c r="A1" s="4" t="s">
        <v>250</v>
      </c>
      <c r="B1" s="4" t="s">
        <v>251</v>
      </c>
      <c r="C1" s="4" t="s">
        <v>252</v>
      </c>
    </row>
    <row r="2" customFormat="false" ht="15" hidden="false" customHeight="false" outlineLevel="0" collapsed="false">
      <c r="A2" s="20" t="s">
        <v>253</v>
      </c>
      <c r="B2" s="20" t="s">
        <v>254</v>
      </c>
      <c r="C2" s="20" t="s">
        <v>255</v>
      </c>
    </row>
    <row r="3" customFormat="false" ht="15" hidden="false" customHeight="false" outlineLevel="0" collapsed="false">
      <c r="A3" s="20" t="s">
        <v>256</v>
      </c>
      <c r="B3" s="20" t="s">
        <v>257</v>
      </c>
      <c r="C3" s="20" t="s">
        <v>258</v>
      </c>
    </row>
    <row r="4" customFormat="false" ht="15" hidden="false" customHeight="false" outlineLevel="0" collapsed="false">
      <c r="A4" s="20" t="s">
        <v>259</v>
      </c>
      <c r="B4" s="20" t="s">
        <v>260</v>
      </c>
      <c r="C4" s="20" t="s">
        <v>261</v>
      </c>
    </row>
    <row r="5" customFormat="false" ht="15" hidden="false" customHeight="false" outlineLevel="0" collapsed="false">
      <c r="A5" s="20" t="s">
        <v>262</v>
      </c>
      <c r="B5" s="20" t="s">
        <v>263</v>
      </c>
      <c r="C5" s="20" t="s">
        <v>214</v>
      </c>
    </row>
    <row r="6" customFormat="false" ht="15" hidden="false" customHeight="false" outlineLevel="0" collapsed="false">
      <c r="A6" s="20" t="s">
        <v>264</v>
      </c>
      <c r="B6" s="20" t="s">
        <v>265</v>
      </c>
      <c r="C6" s="20" t="s">
        <v>134</v>
      </c>
    </row>
    <row r="7" customFormat="false" ht="15" hidden="false" customHeight="false" outlineLevel="0" collapsed="false">
      <c r="A7" s="20" t="s">
        <v>266</v>
      </c>
      <c r="B7" s="20" t="s">
        <v>267</v>
      </c>
      <c r="C7" s="20" t="s">
        <v>268</v>
      </c>
    </row>
    <row r="8" customFormat="false" ht="15" hidden="false" customHeight="false" outlineLevel="0" collapsed="false">
      <c r="A8" s="20" t="s">
        <v>269</v>
      </c>
      <c r="B8" s="20" t="s">
        <v>270</v>
      </c>
      <c r="C8" s="20" t="s">
        <v>271</v>
      </c>
    </row>
    <row r="9" customFormat="false" ht="15" hidden="false" customHeight="false" outlineLevel="0" collapsed="false">
      <c r="A9" s="20" t="s">
        <v>272</v>
      </c>
      <c r="B9" s="20" t="s">
        <v>273</v>
      </c>
      <c r="C9" s="20" t="s">
        <v>167</v>
      </c>
    </row>
    <row r="10" customFormat="false" ht="15" hidden="false" customHeight="false" outlineLevel="0" collapsed="false">
      <c r="A10" s="20" t="s">
        <v>274</v>
      </c>
      <c r="B10" s="20" t="s">
        <v>275</v>
      </c>
      <c r="C10" s="20" t="s">
        <v>276</v>
      </c>
    </row>
    <row r="11" customFormat="false" ht="15" hidden="false" customHeight="false" outlineLevel="0" collapsed="false">
      <c r="A11" s="20" t="s">
        <v>277</v>
      </c>
      <c r="B11" s="20" t="s">
        <v>278</v>
      </c>
      <c r="C11" s="20" t="s">
        <v>157</v>
      </c>
    </row>
    <row r="12" customFormat="false" ht="15" hidden="false" customHeight="false" outlineLevel="0" collapsed="false">
      <c r="A12" s="20" t="s">
        <v>279</v>
      </c>
      <c r="B12" s="20" t="s">
        <v>280</v>
      </c>
      <c r="C12" s="20" t="s">
        <v>281</v>
      </c>
    </row>
    <row r="13" customFormat="false" ht="15" hidden="false" customHeight="false" outlineLevel="0" collapsed="false">
      <c r="A13" s="20" t="s">
        <v>282</v>
      </c>
      <c r="B13" s="20" t="s">
        <v>283</v>
      </c>
      <c r="C13" s="20" t="s">
        <v>284</v>
      </c>
    </row>
    <row r="14" customFormat="false" ht="15" hidden="false" customHeight="false" outlineLevel="0" collapsed="false">
      <c r="A14" s="20" t="s">
        <v>285</v>
      </c>
      <c r="B14" s="20" t="s">
        <v>273</v>
      </c>
      <c r="C14" s="20" t="s">
        <v>138</v>
      </c>
    </row>
    <row r="15" customFormat="false" ht="15" hidden="false" customHeight="false" outlineLevel="0" collapsed="false">
      <c r="A15" s="20" t="s">
        <v>286</v>
      </c>
      <c r="B15" s="20" t="s">
        <v>63</v>
      </c>
      <c r="C15" s="20" t="s">
        <v>287</v>
      </c>
    </row>
    <row r="16" customFormat="false" ht="15" hidden="false" customHeight="false" outlineLevel="0" collapsed="false">
      <c r="A16" s="20" t="s">
        <v>288</v>
      </c>
      <c r="B16" s="20" t="s">
        <v>289</v>
      </c>
      <c r="C16" s="20" t="s">
        <v>162</v>
      </c>
    </row>
    <row r="17" customFormat="false" ht="15" hidden="false" customHeight="false" outlineLevel="0" collapsed="false">
      <c r="A17" s="20" t="s">
        <v>290</v>
      </c>
      <c r="B17" s="20" t="s">
        <v>291</v>
      </c>
      <c r="C17" s="20" t="s">
        <v>70</v>
      </c>
    </row>
    <row r="18" customFormat="false" ht="15" hidden="false" customHeight="false" outlineLevel="0" collapsed="false">
      <c r="A18" s="20" t="s">
        <v>292</v>
      </c>
      <c r="B18" s="20" t="s">
        <v>273</v>
      </c>
      <c r="C18" s="20" t="s">
        <v>293</v>
      </c>
    </row>
    <row r="19" customFormat="false" ht="15" hidden="false" customHeight="false" outlineLevel="0" collapsed="false">
      <c r="A19" s="20" t="s">
        <v>294</v>
      </c>
      <c r="B19" s="20" t="s">
        <v>295</v>
      </c>
      <c r="C19" s="20" t="s">
        <v>296</v>
      </c>
    </row>
    <row r="20" customFormat="false" ht="15" hidden="false" customHeight="false" outlineLevel="0" collapsed="false">
      <c r="A20" s="20" t="s">
        <v>297</v>
      </c>
      <c r="B20" s="20" t="s">
        <v>273</v>
      </c>
      <c r="C20" s="20" t="s">
        <v>75</v>
      </c>
    </row>
    <row r="21" customFormat="false" ht="15" hidden="false" customHeight="false" outlineLevel="0" collapsed="false">
      <c r="A21" s="20" t="s">
        <v>298</v>
      </c>
      <c r="B21" s="20" t="s">
        <v>299</v>
      </c>
      <c r="C21" s="20" t="s">
        <v>199</v>
      </c>
    </row>
    <row r="22" customFormat="false" ht="15" hidden="false" customHeight="false" outlineLevel="0" collapsed="false">
      <c r="A22" s="20" t="s">
        <v>300</v>
      </c>
      <c r="B22" s="20" t="s">
        <v>301</v>
      </c>
      <c r="C22" s="20" t="s">
        <v>302</v>
      </c>
    </row>
    <row r="23" customFormat="false" ht="15" hidden="false" customHeight="false" outlineLevel="0" collapsed="false">
      <c r="A23" s="20" t="s">
        <v>303</v>
      </c>
      <c r="B23" s="20" t="s">
        <v>273</v>
      </c>
      <c r="C23" s="20" t="s">
        <v>134</v>
      </c>
    </row>
    <row r="24" customFormat="false" ht="15" hidden="false" customHeight="false" outlineLevel="0" collapsed="false">
      <c r="A24" s="20" t="s">
        <v>304</v>
      </c>
      <c r="B24" s="20" t="s">
        <v>273</v>
      </c>
      <c r="C24" s="20" t="s">
        <v>305</v>
      </c>
    </row>
    <row r="25" customFormat="false" ht="15" hidden="false" customHeight="false" outlineLevel="0" collapsed="false">
      <c r="A25" s="20" t="s">
        <v>306</v>
      </c>
      <c r="B25" s="20" t="s">
        <v>299</v>
      </c>
      <c r="C25" s="20" t="s">
        <v>307</v>
      </c>
    </row>
    <row r="26" customFormat="false" ht="15" hidden="false" customHeight="false" outlineLevel="0" collapsed="false">
      <c r="A26" s="20" t="s">
        <v>308</v>
      </c>
      <c r="B26" s="20" t="s">
        <v>63</v>
      </c>
      <c r="C26" s="20" t="s">
        <v>309</v>
      </c>
    </row>
    <row r="27" customFormat="false" ht="15" hidden="false" customHeight="false" outlineLevel="0" collapsed="false">
      <c r="A27" s="20" t="s">
        <v>310</v>
      </c>
      <c r="B27" s="20" t="s">
        <v>311</v>
      </c>
      <c r="C27" s="20" t="s">
        <v>312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2026-10-06T10:42:44Z</dcterms:created>
  <dc:creator>openpyxl</dc:creator>
  <dc:description/>
  <dc:language>en-US</dc:language>
  <cp:lastModifiedBy/>
  <dcterms:modified xsi:type="dcterms:W3CDTF">2026-10-06T10:42:44Z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